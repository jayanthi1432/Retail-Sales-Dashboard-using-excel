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E5F4D4E33D6AA27D/Documents/"/>
    </mc:Choice>
  </mc:AlternateContent>
  <xr:revisionPtr revIDLastSave="1194" documentId="8_{6937983C-5DB3-472D-BFB4-D8FE4C0ECBC8}" xr6:coauthVersionLast="47" xr6:coauthVersionMax="47" xr10:uidLastSave="{48B729C3-87BD-42D9-A927-0684D221E1CC}"/>
  <bookViews>
    <workbookView xWindow="0" yWindow="0" windowWidth="19200" windowHeight="10080" activeTab="3" xr2:uid="{00000000-000D-0000-FFFF-FFFF00000000}"/>
  </bookViews>
  <sheets>
    <sheet name="Retail_Sales" sheetId="1" r:id="rId1"/>
    <sheet name="cleaned_data" sheetId="3" r:id="rId2"/>
    <sheet name="pivot tables" sheetId="4" r:id="rId3"/>
    <sheet name="Retail_Sales_Dashboard" sheetId="5" r:id="rId4"/>
  </sheets>
  <definedNames>
    <definedName name="Slicer_Category">#N/A</definedName>
    <definedName name="Slicer_Payment_Method">#N/A</definedName>
    <definedName name="Slicer_Region">#N/A</definedName>
    <definedName name="Slicer_Yea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2"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alcChain>
</file>

<file path=xl/sharedStrings.xml><?xml version="1.0" encoding="utf-8"?>
<sst xmlns="http://schemas.openxmlformats.org/spreadsheetml/2006/main" count="13643" uniqueCount="1240">
  <si>
    <t>Order_ID</t>
  </si>
  <si>
    <t>Order_Date</t>
  </si>
  <si>
    <t>Customer_ID</t>
  </si>
  <si>
    <t>Customer_Name</t>
  </si>
  <si>
    <t>Gender</t>
  </si>
  <si>
    <t>Age</t>
  </si>
  <si>
    <t>City</t>
  </si>
  <si>
    <t>State</t>
  </si>
  <si>
    <t>Region</t>
  </si>
  <si>
    <t>Category</t>
  </si>
  <si>
    <t>Sub_Category</t>
  </si>
  <si>
    <t>Product_Name</t>
  </si>
  <si>
    <t>Quantity</t>
  </si>
  <si>
    <t>Unit_Price</t>
  </si>
  <si>
    <t>Discount</t>
  </si>
  <si>
    <t>Sales</t>
  </si>
  <si>
    <t>Profit</t>
  </si>
  <si>
    <t>Payment_Method</t>
  </si>
  <si>
    <t>Order_Status</t>
  </si>
  <si>
    <t>Salesperson</t>
  </si>
  <si>
    <t>ORD10002</t>
  </si>
  <si>
    <t>CUST1037</t>
  </si>
  <si>
    <t>Customer_87</t>
  </si>
  <si>
    <t>Female</t>
  </si>
  <si>
    <t>Mumbai</t>
  </si>
  <si>
    <t>Maharashtra</t>
  </si>
  <si>
    <t>West</t>
  </si>
  <si>
    <t>Electronics</t>
  </si>
  <si>
    <t>Gadgets</t>
  </si>
  <si>
    <t>Monitor</t>
  </si>
  <si>
    <t>Cash</t>
  </si>
  <si>
    <t>Cancelled</t>
  </si>
  <si>
    <t>Priya</t>
  </si>
  <si>
    <t>ORD10003</t>
  </si>
  <si>
    <t>2024-08-25</t>
  </si>
  <si>
    <t>CUST1076</t>
  </si>
  <si>
    <t>Customer_15</t>
  </si>
  <si>
    <t>Male</t>
  </si>
  <si>
    <t>Ahmedabad</t>
  </si>
  <si>
    <t>Gujarat</t>
  </si>
  <si>
    <t>Headphones</t>
  </si>
  <si>
    <t>Credit Card</t>
  </si>
  <si>
    <t>ORD10004</t>
  </si>
  <si>
    <t>2025-04-16</t>
  </si>
  <si>
    <t>CUST1097</t>
  </si>
  <si>
    <t>Customer_69</t>
  </si>
  <si>
    <t>Pune</t>
  </si>
  <si>
    <t>Office Supplies</t>
  </si>
  <si>
    <t>Stationery</t>
  </si>
  <si>
    <t>Notebook</t>
  </si>
  <si>
    <t>Debit Card</t>
  </si>
  <si>
    <t>Completed</t>
  </si>
  <si>
    <t>Rahul</t>
  </si>
  <si>
    <t>ORD10005</t>
  </si>
  <si>
    <t>2025-03-22</t>
  </si>
  <si>
    <t>CUST1022</t>
  </si>
  <si>
    <t>Customer_143</t>
  </si>
  <si>
    <t>Delhi</t>
  </si>
  <si>
    <t>North</t>
  </si>
  <si>
    <t>Net Banking</t>
  </si>
  <si>
    <t>Sneha</t>
  </si>
  <si>
    <t>ORD10006</t>
  </si>
  <si>
    <t>2024-11-08</t>
  </si>
  <si>
    <t>CUST1132</t>
  </si>
  <si>
    <t>Customer_101</t>
  </si>
  <si>
    <t>Kiran</t>
  </si>
  <si>
    <t>ORD10007</t>
  </si>
  <si>
    <t>2025-06-03</t>
  </si>
  <si>
    <t>CUST1075</t>
  </si>
  <si>
    <t>Customer_167</t>
  </si>
  <si>
    <t>ORD10008</t>
  </si>
  <si>
    <t>2025-02-02</t>
  </si>
  <si>
    <t>Customer_53</t>
  </si>
  <si>
    <t>Smartphone</t>
  </si>
  <si>
    <t>ORD10009</t>
  </si>
  <si>
    <t>2024-09-18</t>
  </si>
  <si>
    <t>CUST1023</t>
  </si>
  <si>
    <t>Customer_115</t>
  </si>
  <si>
    <t>Clothing</t>
  </si>
  <si>
    <t>Apparel</t>
  </si>
  <si>
    <t>Jeans</t>
  </si>
  <si>
    <t>UPI</t>
  </si>
  <si>
    <t>ORD10010</t>
  </si>
  <si>
    <t>2025-02-03</t>
  </si>
  <si>
    <t>CUST1008</t>
  </si>
  <si>
    <t>Customer_77</t>
  </si>
  <si>
    <t>Bengaluru</t>
  </si>
  <si>
    <t>Karnataka</t>
  </si>
  <si>
    <t>South</t>
  </si>
  <si>
    <t>Furniture</t>
  </si>
  <si>
    <t>Home</t>
  </si>
  <si>
    <t>Desk</t>
  </si>
  <si>
    <t>Pending</t>
  </si>
  <si>
    <t>Anjali</t>
  </si>
  <si>
    <t>ORD10011</t>
  </si>
  <si>
    <t>2024-11-03</t>
  </si>
  <si>
    <t>CUST1016</t>
  </si>
  <si>
    <t>Customer_149</t>
  </si>
  <si>
    <t>Kolkata</t>
  </si>
  <si>
    <t>West Bengal</t>
  </si>
  <si>
    <t>East</t>
  </si>
  <si>
    <t>Jacket</t>
  </si>
  <si>
    <t>ORD10012</t>
  </si>
  <si>
    <t>2024-06-25</t>
  </si>
  <si>
    <t>CUST1120</t>
  </si>
  <si>
    <t>Customer_60</t>
  </si>
  <si>
    <t>ORD10013</t>
  </si>
  <si>
    <t>2025-03-25</t>
  </si>
  <si>
    <t>CUST1101</t>
  </si>
  <si>
    <t>Customer_132</t>
  </si>
  <si>
    <t>ORD10014</t>
  </si>
  <si>
    <t>2025-05-29</t>
  </si>
  <si>
    <t>CUST1056</t>
  </si>
  <si>
    <t>Customer_139</t>
  </si>
  <si>
    <t>Chennai</t>
  </si>
  <si>
    <t>Tamil Nadu</t>
  </si>
  <si>
    <t>Pen Pack</t>
  </si>
  <si>
    <t>Amit</t>
  </si>
  <si>
    <t>ORD10015</t>
  </si>
  <si>
    <t>2024-02-10</t>
  </si>
  <si>
    <t>CUST1129</t>
  </si>
  <si>
    <t>Customer_94</t>
  </si>
  <si>
    <t>ORD10016</t>
  </si>
  <si>
    <t>2025-02-09</t>
  </si>
  <si>
    <t>CUST1060</t>
  </si>
  <si>
    <t>Customer_54</t>
  </si>
  <si>
    <t>Hyderabad</t>
  </si>
  <si>
    <t>Telangana</t>
  </si>
  <si>
    <t>Office Chair</t>
  </si>
  <si>
    <t>ORD10017</t>
  </si>
  <si>
    <t>2024-01-10</t>
  </si>
  <si>
    <t>CUST1121</t>
  </si>
  <si>
    <t>Customer_131</t>
  </si>
  <si>
    <t>ORD10018</t>
  </si>
  <si>
    <t>2024-05-01</t>
  </si>
  <si>
    <t>CUST1070</t>
  </si>
  <si>
    <t>Customer_111</t>
  </si>
  <si>
    <t>ORD10019</t>
  </si>
  <si>
    <t>2025-01-02</t>
  </si>
  <si>
    <t>CUST1110</t>
  </si>
  <si>
    <t>Laptop</t>
  </si>
  <si>
    <t>ORD10020</t>
  </si>
  <si>
    <t>2024-04-03</t>
  </si>
  <si>
    <t>CUST1118</t>
  </si>
  <si>
    <t>ORD10021</t>
  </si>
  <si>
    <t>2024-05-10</t>
  </si>
  <si>
    <t>CUST1044</t>
  </si>
  <si>
    <t>Customer_119</t>
  </si>
  <si>
    <t>ORD10022</t>
  </si>
  <si>
    <t>2024-10-07</t>
  </si>
  <si>
    <t>CUST1000</t>
  </si>
  <si>
    <t>Customer_175</t>
  </si>
  <si>
    <t>ORD10023</t>
  </si>
  <si>
    <t>2024-03-17</t>
  </si>
  <si>
    <t>CUST1128</t>
  </si>
  <si>
    <t>Customer_104</t>
  </si>
  <si>
    <t>T-Shirt</t>
  </si>
  <si>
    <t>ORD10024</t>
  </si>
  <si>
    <t>2024-11-07</t>
  </si>
  <si>
    <t>CUST1080</t>
  </si>
  <si>
    <t>Customer_173</t>
  </si>
  <si>
    <t>ORD10025</t>
  </si>
  <si>
    <t>2024-06-22</t>
  </si>
  <si>
    <t>CUST1009</t>
  </si>
  <si>
    <t>Customer_12</t>
  </si>
  <si>
    <t>ORD10026</t>
  </si>
  <si>
    <t>2025-01-30</t>
  </si>
  <si>
    <t>CUST1106</t>
  </si>
  <si>
    <t>Customer_39</t>
  </si>
  <si>
    <t>ORD10027</t>
  </si>
  <si>
    <t>2024-06-06</t>
  </si>
  <si>
    <t>CUST1124</t>
  </si>
  <si>
    <t>ORD10028</t>
  </si>
  <si>
    <t>2024-03-03</t>
  </si>
  <si>
    <t>CUST1018</t>
  </si>
  <si>
    <t>Customer_27</t>
  </si>
  <si>
    <t>ORD10029</t>
  </si>
  <si>
    <t>2024-06-24</t>
  </si>
  <si>
    <t>CUST1126</t>
  </si>
  <si>
    <t>Customer_110</t>
  </si>
  <si>
    <t>ORD10030</t>
  </si>
  <si>
    <t>2025-01-31</t>
  </si>
  <si>
    <t>Customer_56</t>
  </si>
  <si>
    <t>ORD10031</t>
  </si>
  <si>
    <t>2024-06-09</t>
  </si>
  <si>
    <t>CUST1098</t>
  </si>
  <si>
    <t>Customer_2</t>
  </si>
  <si>
    <t>ORD10032</t>
  </si>
  <si>
    <t>2025-04-02</t>
  </si>
  <si>
    <t>CUST1114</t>
  </si>
  <si>
    <t>Customer_68</t>
  </si>
  <si>
    <t>ORD10033</t>
  </si>
  <si>
    <t>2025-03-17</t>
  </si>
  <si>
    <t>Customer_180</t>
  </si>
  <si>
    <t>ORD10034</t>
  </si>
  <si>
    <t>2025-03-15</t>
  </si>
  <si>
    <t>CUST1027</t>
  </si>
  <si>
    <t>Customer_75</t>
  </si>
  <si>
    <t>ORD10035</t>
  </si>
  <si>
    <t>2024-02-03</t>
  </si>
  <si>
    <t>CUST1134</t>
  </si>
  <si>
    <t>Customer_72</t>
  </si>
  <si>
    <t>ORD10036</t>
  </si>
  <si>
    <t>2024-04-20</t>
  </si>
  <si>
    <t>CUST1059</t>
  </si>
  <si>
    <t>Customer_161</t>
  </si>
  <si>
    <t>ORD10037</t>
  </si>
  <si>
    <t>2024-09-25</t>
  </si>
  <si>
    <t>CUST1029</t>
  </si>
  <si>
    <t>ORD10038</t>
  </si>
  <si>
    <t>2025-06-12</t>
  </si>
  <si>
    <t>CUST1049</t>
  </si>
  <si>
    <t>ORD10039</t>
  </si>
  <si>
    <t>2025-04-18</t>
  </si>
  <si>
    <t>CUST1085</t>
  </si>
  <si>
    <t>Printer Paper</t>
  </si>
  <si>
    <t>ORD10040</t>
  </si>
  <si>
    <t>2025-06-21</t>
  </si>
  <si>
    <t>CUST1092</t>
  </si>
  <si>
    <t>Customer_123</t>
  </si>
  <si>
    <t>ORD10041</t>
  </si>
  <si>
    <t>2024-02-27</t>
  </si>
  <si>
    <t>Customer_106</t>
  </si>
  <si>
    <t>ORD10042</t>
  </si>
  <si>
    <t>2024-06-05</t>
  </si>
  <si>
    <t>CUST1025</t>
  </si>
  <si>
    <t>Customer_30</t>
  </si>
  <si>
    <t>ORD10043</t>
  </si>
  <si>
    <t>2024-09-30</t>
  </si>
  <si>
    <t>CUST1026</t>
  </si>
  <si>
    <t>Customer_179</t>
  </si>
  <si>
    <t>ORD10044</t>
  </si>
  <si>
    <t>2024-09-22</t>
  </si>
  <si>
    <t>CUST1139</t>
  </si>
  <si>
    <t>Customer_67</t>
  </si>
  <si>
    <t>ORD10045</t>
  </si>
  <si>
    <t>2024-06-14</t>
  </si>
  <si>
    <t>CUST1013</t>
  </si>
  <si>
    <t>Customer_55</t>
  </si>
  <si>
    <t>ORD10046</t>
  </si>
  <si>
    <t>2024-04-09</t>
  </si>
  <si>
    <t>Customer_7</t>
  </si>
  <si>
    <t>Bookshelf</t>
  </si>
  <si>
    <t>ORD10047</t>
  </si>
  <si>
    <t>2025-05-03</t>
  </si>
  <si>
    <t>CUST1017</t>
  </si>
  <si>
    <t>Customer_23</t>
  </si>
  <si>
    <t>ORD10048</t>
  </si>
  <si>
    <t>2024-01-07</t>
  </si>
  <si>
    <t>Customer_58</t>
  </si>
  <si>
    <t>ORD10049</t>
  </si>
  <si>
    <t>2024-12-22</t>
  </si>
  <si>
    <t>CUST1103</t>
  </si>
  <si>
    <t>Customer_29</t>
  </si>
  <si>
    <t>ORD10050</t>
  </si>
  <si>
    <t>2024-08-10</t>
  </si>
  <si>
    <t>CUST1143</t>
  </si>
  <si>
    <t>Customer_156</t>
  </si>
  <si>
    <t>ORD10051</t>
  </si>
  <si>
    <t>2025-01-08</t>
  </si>
  <si>
    <t>CUST1117</t>
  </si>
  <si>
    <t>ORD10052</t>
  </si>
  <si>
    <t>2024-02-15</t>
  </si>
  <si>
    <t>ORD10053</t>
  </si>
  <si>
    <t>2024-01-19</t>
  </si>
  <si>
    <t>ORD10054</t>
  </si>
  <si>
    <t>CUST1145</t>
  </si>
  <si>
    <t>Customer_1</t>
  </si>
  <si>
    <t>ORD10055</t>
  </si>
  <si>
    <t>2024-02-16</t>
  </si>
  <si>
    <t>CUST1074</t>
  </si>
  <si>
    <t>Customer_76</t>
  </si>
  <si>
    <t>ORD10056</t>
  </si>
  <si>
    <t>2024-05-11</t>
  </si>
  <si>
    <t>CUST1062</t>
  </si>
  <si>
    <t>Customer_65</t>
  </si>
  <si>
    <t>ORD10057</t>
  </si>
  <si>
    <t>2025-03-06</t>
  </si>
  <si>
    <t>Customer_63</t>
  </si>
  <si>
    <t>ORD10058</t>
  </si>
  <si>
    <t>2025-02-10</t>
  </si>
  <si>
    <t>CUST1015</t>
  </si>
  <si>
    <t>ORD10059</t>
  </si>
  <si>
    <t>2025-03-26</t>
  </si>
  <si>
    <t>CUST1042</t>
  </si>
  <si>
    <t>Customer_83</t>
  </si>
  <si>
    <t>ORD10060</t>
  </si>
  <si>
    <t>2025-04-06</t>
  </si>
  <si>
    <t>Customer_47</t>
  </si>
  <si>
    <t>ORD10061</t>
  </si>
  <si>
    <t>2025-04-03</t>
  </si>
  <si>
    <t>CUST1011</t>
  </si>
  <si>
    <t>Customer_100</t>
  </si>
  <si>
    <t>ORD10062</t>
  </si>
  <si>
    <t>2024-08-23</t>
  </si>
  <si>
    <t>Customer_151</t>
  </si>
  <si>
    <t>ORD10063</t>
  </si>
  <si>
    <t>2024-03-25</t>
  </si>
  <si>
    <t>Customer_158</t>
  </si>
  <si>
    <t>ORD10064</t>
  </si>
  <si>
    <t>2024-12-30</t>
  </si>
  <si>
    <t>CUST1005</t>
  </si>
  <si>
    <t>Customer_82</t>
  </si>
  <si>
    <t>ORD10065</t>
  </si>
  <si>
    <t>2024-07-09</t>
  </si>
  <si>
    <t>Customer_118</t>
  </si>
  <si>
    <t>ORD10066</t>
  </si>
  <si>
    <t>2024-09-23</t>
  </si>
  <si>
    <t>CUST1024</t>
  </si>
  <si>
    <t>Customer_74</t>
  </si>
  <si>
    <t>ORD10067</t>
  </si>
  <si>
    <t>2024-06-15</t>
  </si>
  <si>
    <t>CUST1142</t>
  </si>
  <si>
    <t>Customer_133</t>
  </si>
  <si>
    <t>ORD10068</t>
  </si>
  <si>
    <t>2024-09-29</t>
  </si>
  <si>
    <t>CUST1077</t>
  </si>
  <si>
    <t>Customer_71</t>
  </si>
  <si>
    <t>ORD10069</t>
  </si>
  <si>
    <t>2025-05-08</t>
  </si>
  <si>
    <t>CUST1105</t>
  </si>
  <si>
    <t>Customer_176</t>
  </si>
  <si>
    <t>ORD10070</t>
  </si>
  <si>
    <t>2025-02-01</t>
  </si>
  <si>
    <t>Customer_112</t>
  </si>
  <si>
    <t>ORD10071</t>
  </si>
  <si>
    <t>2024-12-12</t>
  </si>
  <si>
    <t>CUST1010</t>
  </si>
  <si>
    <t>Customer_41</t>
  </si>
  <si>
    <t>ORD10072</t>
  </si>
  <si>
    <t>2025-01-03</t>
  </si>
  <si>
    <t>CUST1123</t>
  </si>
  <si>
    <t>Customer_16</t>
  </si>
  <si>
    <t>ORD10073</t>
  </si>
  <si>
    <t>2024-05-20</t>
  </si>
  <si>
    <t>ORD10074</t>
  </si>
  <si>
    <t>2024-11-05</t>
  </si>
  <si>
    <t>CUST1150</t>
  </si>
  <si>
    <t>Customer_116</t>
  </si>
  <si>
    <t>ORD10075</t>
  </si>
  <si>
    <t>2025-02-27</t>
  </si>
  <si>
    <t>ORD10076</t>
  </si>
  <si>
    <t>2024-04-21</t>
  </si>
  <si>
    <t>CUST1054</t>
  </si>
  <si>
    <t>Customer_81</t>
  </si>
  <si>
    <t>ORD10077</t>
  </si>
  <si>
    <t>2024-03-23</t>
  </si>
  <si>
    <t>CUST1079</t>
  </si>
  <si>
    <t>Customer_19</t>
  </si>
  <si>
    <t>ORD10078</t>
  </si>
  <si>
    <t>2025-04-11</t>
  </si>
  <si>
    <t>CUST1007</t>
  </si>
  <si>
    <t>Customer_9</t>
  </si>
  <si>
    <t>ORD10079</t>
  </si>
  <si>
    <t>Customer_147</t>
  </si>
  <si>
    <t>ORD10080</t>
  </si>
  <si>
    <t>2024-01-05</t>
  </si>
  <si>
    <t>CUST1006</t>
  </si>
  <si>
    <t>Customer_122</t>
  </si>
  <si>
    <t>ORD10081</t>
  </si>
  <si>
    <t>2024-09-04</t>
  </si>
  <si>
    <t>CUST1081</t>
  </si>
  <si>
    <t>Customer_4</t>
  </si>
  <si>
    <t>ORD10082</t>
  </si>
  <si>
    <t>2025-04-15</t>
  </si>
  <si>
    <t>Customer_88</t>
  </si>
  <si>
    <t>ORD10083</t>
  </si>
  <si>
    <t>2025-01-27</t>
  </si>
  <si>
    <t>CUST1061</t>
  </si>
  <si>
    <t>ORD10084</t>
  </si>
  <si>
    <t>2025-06-18</t>
  </si>
  <si>
    <t>ORD10085</t>
  </si>
  <si>
    <t>2025-03-13</t>
  </si>
  <si>
    <t>CUST1052</t>
  </si>
  <si>
    <t>Customer_33</t>
  </si>
  <si>
    <t>ORD10086</t>
  </si>
  <si>
    <t>CUST1087</t>
  </si>
  <si>
    <t>ORD10087</t>
  </si>
  <si>
    <t>2024-08-06</t>
  </si>
  <si>
    <t>Customer_159</t>
  </si>
  <si>
    <t>ORD10088</t>
  </si>
  <si>
    <t>2025-04-01</t>
  </si>
  <si>
    <t>Customer_128</t>
  </si>
  <si>
    <t>ORD10089</t>
  </si>
  <si>
    <t>2024-10-24</t>
  </si>
  <si>
    <t>CUST1031</t>
  </si>
  <si>
    <t>ORD10090</t>
  </si>
  <si>
    <t>2024-07-04</t>
  </si>
  <si>
    <t>CUST1086</t>
  </si>
  <si>
    <t>Customer_154</t>
  </si>
  <si>
    <t>ORD10091</t>
  </si>
  <si>
    <t>2024-12-28</t>
  </si>
  <si>
    <t>CUST1149</t>
  </si>
  <si>
    <t>Customer_89</t>
  </si>
  <si>
    <t>ORD10092</t>
  </si>
  <si>
    <t>2024-07-22</t>
  </si>
  <si>
    <t>ORD10093</t>
  </si>
  <si>
    <t>2025-05-27</t>
  </si>
  <si>
    <t>ORD10094</t>
  </si>
  <si>
    <t>2025-04-05</t>
  </si>
  <si>
    <t>CUST1035</t>
  </si>
  <si>
    <t>ORD10095</t>
  </si>
  <si>
    <t>2024-01-12</t>
  </si>
  <si>
    <t>Customer_168</t>
  </si>
  <si>
    <t>ORD10096</t>
  </si>
  <si>
    <t>CUST1113</t>
  </si>
  <si>
    <t>ORD10097</t>
  </si>
  <si>
    <t>2024-07-07</t>
  </si>
  <si>
    <t>CUST1141</t>
  </si>
  <si>
    <t>ORD10098</t>
  </si>
  <si>
    <t>Customer_70</t>
  </si>
  <si>
    <t>ORD10099</t>
  </si>
  <si>
    <t>2025-01-06</t>
  </si>
  <si>
    <t>Customer_145</t>
  </si>
  <si>
    <t>ORD10100</t>
  </si>
  <si>
    <t>2025-02-18</t>
  </si>
  <si>
    <t>ORD10101</t>
  </si>
  <si>
    <t>2024-06-20</t>
  </si>
  <si>
    <t>Customer_127</t>
  </si>
  <si>
    <t>ORD10102</t>
  </si>
  <si>
    <t>2024-07-05</t>
  </si>
  <si>
    <t>Customer_61</t>
  </si>
  <si>
    <t>ORD10103</t>
  </si>
  <si>
    <t>2025-06-05</t>
  </si>
  <si>
    <t>Customer_46</t>
  </si>
  <si>
    <t>ORD10104</t>
  </si>
  <si>
    <t>2024-01-25</t>
  </si>
  <si>
    <t>ORD10105</t>
  </si>
  <si>
    <t>2024-06-11</t>
  </si>
  <si>
    <t>CUST1064</t>
  </si>
  <si>
    <t>Customer_107</t>
  </si>
  <si>
    <t>ORD10106</t>
  </si>
  <si>
    <t>2024-03-15</t>
  </si>
  <si>
    <t>Customer_129</t>
  </si>
  <si>
    <t>ORD10107</t>
  </si>
  <si>
    <t>2024-05-04</t>
  </si>
  <si>
    <t>CUST1021</t>
  </si>
  <si>
    <t>Customer_26</t>
  </si>
  <si>
    <t>ORD10108</t>
  </si>
  <si>
    <t>2024-12-21</t>
  </si>
  <si>
    <t>CUST1040</t>
  </si>
  <si>
    <t>Customer_169</t>
  </si>
  <si>
    <t>ORD10109</t>
  </si>
  <si>
    <t>2024-11-21</t>
  </si>
  <si>
    <t>ORD10110</t>
  </si>
  <si>
    <t>2024-04-25</t>
  </si>
  <si>
    <t>CUST1082</t>
  </si>
  <si>
    <t>ORD10111</t>
  </si>
  <si>
    <t>2025-04-10</t>
  </si>
  <si>
    <t>Customer_91</t>
  </si>
  <si>
    <t>ORD10112</t>
  </si>
  <si>
    <t>2024-10-17</t>
  </si>
  <si>
    <t>ORD10113</t>
  </si>
  <si>
    <t>Customer_8</t>
  </si>
  <si>
    <t>ORD10114</t>
  </si>
  <si>
    <t>2024-09-02</t>
  </si>
  <si>
    <t>CUST1001</t>
  </si>
  <si>
    <t>Customer_48</t>
  </si>
  <si>
    <t>ORD10115</t>
  </si>
  <si>
    <t>2025-01-04</t>
  </si>
  <si>
    <t>ORD10116</t>
  </si>
  <si>
    <t>2025-01-07</t>
  </si>
  <si>
    <t>ORD10117</t>
  </si>
  <si>
    <t>2024-10-22</t>
  </si>
  <si>
    <t>CUST1127</t>
  </si>
  <si>
    <t>Customer_80</t>
  </si>
  <si>
    <t>ORD10118</t>
  </si>
  <si>
    <t>2024-04-29</t>
  </si>
  <si>
    <t>Customer_136</t>
  </si>
  <si>
    <t>ORD10119</t>
  </si>
  <si>
    <t>2025-01-10</t>
  </si>
  <si>
    <t>CUST1034</t>
  </si>
  <si>
    <t>ORD10120</t>
  </si>
  <si>
    <t>2024-01-27</t>
  </si>
  <si>
    <t>CUST1068</t>
  </si>
  <si>
    <t>ORD10121</t>
  </si>
  <si>
    <t>2025-03-18</t>
  </si>
  <si>
    <t>Customer_157</t>
  </si>
  <si>
    <t>ORD10122</t>
  </si>
  <si>
    <t>ORD10123</t>
  </si>
  <si>
    <t>CUST1033</t>
  </si>
  <si>
    <t>ORD10124</t>
  </si>
  <si>
    <t>2024-03-04</t>
  </si>
  <si>
    <t>Customer_105</t>
  </si>
  <si>
    <t>ORD10125</t>
  </si>
  <si>
    <t>2024-11-04</t>
  </si>
  <si>
    <t>CUST1104</t>
  </si>
  <si>
    <t>ORD10126</t>
  </si>
  <si>
    <t>CUST1095</t>
  </si>
  <si>
    <t>Customer_44</t>
  </si>
  <si>
    <t>ORD10127</t>
  </si>
  <si>
    <t>2024-07-25</t>
  </si>
  <si>
    <t>Customer_24</t>
  </si>
  <si>
    <t>ORD10128</t>
  </si>
  <si>
    <t>CUST1140</t>
  </si>
  <si>
    <t>ORD10129</t>
  </si>
  <si>
    <t>2025-04-22</t>
  </si>
  <si>
    <t>CUST1032</t>
  </si>
  <si>
    <t>ORD10130</t>
  </si>
  <si>
    <t>Customer_21</t>
  </si>
  <si>
    <t>ORD10131</t>
  </si>
  <si>
    <t>2024-10-06</t>
  </si>
  <si>
    <t>Customer_163</t>
  </si>
  <si>
    <t>ORD10132</t>
  </si>
  <si>
    <t>2025-01-24</t>
  </si>
  <si>
    <t>CUST1138</t>
  </si>
  <si>
    <t>ORD10133</t>
  </si>
  <si>
    <t>2025-04-27</t>
  </si>
  <si>
    <t>CUST1012</t>
  </si>
  <si>
    <t>ORD10134</t>
  </si>
  <si>
    <t>2024-06-21</t>
  </si>
  <si>
    <t>Customer_86</t>
  </si>
  <si>
    <t>ORD10135</t>
  </si>
  <si>
    <t>CUST1046</t>
  </si>
  <si>
    <t>Customer_34</t>
  </si>
  <si>
    <t>ORD10136</t>
  </si>
  <si>
    <t>2025-05-23</t>
  </si>
  <si>
    <t>CUST1002</t>
  </si>
  <si>
    <t>ORD10137</t>
  </si>
  <si>
    <t>2024-12-18</t>
  </si>
  <si>
    <t>ORD10138</t>
  </si>
  <si>
    <t>2024-10-04</t>
  </si>
  <si>
    <t>CUST1130</t>
  </si>
  <si>
    <t>Customer_148</t>
  </si>
  <si>
    <t>ORD10139</t>
  </si>
  <si>
    <t>2024-09-28</t>
  </si>
  <si>
    <t>CUST1116</t>
  </si>
  <si>
    <t>Customer_84</t>
  </si>
  <si>
    <t>ORD10140</t>
  </si>
  <si>
    <t>2024-11-01</t>
  </si>
  <si>
    <t>CUST1048</t>
  </si>
  <si>
    <t>ORD10141</t>
  </si>
  <si>
    <t>2024-10-20</t>
  </si>
  <si>
    <t>ORD10142</t>
  </si>
  <si>
    <t>CUST1147</t>
  </si>
  <si>
    <t>ORD10143</t>
  </si>
  <si>
    <t>Customer_172</t>
  </si>
  <si>
    <t>ORD10144</t>
  </si>
  <si>
    <t>2025-02-08</t>
  </si>
  <si>
    <t>CUST1038</t>
  </si>
  <si>
    <t>ORD10145</t>
  </si>
  <si>
    <t>2025-05-16</t>
  </si>
  <si>
    <t>CUST1119</t>
  </si>
  <si>
    <t>Customer_125</t>
  </si>
  <si>
    <t>ORD10146</t>
  </si>
  <si>
    <t>2024-03-27</t>
  </si>
  <si>
    <t>Customer_99</t>
  </si>
  <si>
    <t>ORD10147</t>
  </si>
  <si>
    <t>2025-03-12</t>
  </si>
  <si>
    <t>ORD10148</t>
  </si>
  <si>
    <t>2025-06-19</t>
  </si>
  <si>
    <t>ORD10149</t>
  </si>
  <si>
    <t>2024-03-20</t>
  </si>
  <si>
    <t>ORD10150</t>
  </si>
  <si>
    <t>CUST1084</t>
  </si>
  <si>
    <t>Customer_162</t>
  </si>
  <si>
    <t>ORD10151</t>
  </si>
  <si>
    <t>2024-01-21</t>
  </si>
  <si>
    <t>ORD10152</t>
  </si>
  <si>
    <t>2024-08-02</t>
  </si>
  <si>
    <t>Customer_13</t>
  </si>
  <si>
    <t>ORD10153</t>
  </si>
  <si>
    <t>2025-01-29</t>
  </si>
  <si>
    <t>Customer_64</t>
  </si>
  <si>
    <t>ORD10154</t>
  </si>
  <si>
    <t>ORD10155</t>
  </si>
  <si>
    <t>Customer_31</t>
  </si>
  <si>
    <t>ORD10156</t>
  </si>
  <si>
    <t>2024-11-12</t>
  </si>
  <si>
    <t>Customer_98</t>
  </si>
  <si>
    <t>ORD10157</t>
  </si>
  <si>
    <t>CUST1069</t>
  </si>
  <si>
    <t>ORD10158</t>
  </si>
  <si>
    <t>2024-07-29</t>
  </si>
  <si>
    <t>Customer_130</t>
  </si>
  <si>
    <t>ORD10159</t>
  </si>
  <si>
    <t>2024-02-12</t>
  </si>
  <si>
    <t>Customer_62</t>
  </si>
  <si>
    <t>ORD10160</t>
  </si>
  <si>
    <t>2025-03-31</t>
  </si>
  <si>
    <t>ORD10161</t>
  </si>
  <si>
    <t>Customer_40</t>
  </si>
  <si>
    <t>ORD10162</t>
  </si>
  <si>
    <t>2024-02-29</t>
  </si>
  <si>
    <t>Customer_6</t>
  </si>
  <si>
    <t>ORD10163</t>
  </si>
  <si>
    <t>2024-04-12</t>
  </si>
  <si>
    <t>CUST1047</t>
  </si>
  <si>
    <t>ORD10164</t>
  </si>
  <si>
    <t>Customer_153</t>
  </si>
  <si>
    <t>ORD10165</t>
  </si>
  <si>
    <t>2025-01-15</t>
  </si>
  <si>
    <t>ORD10166</t>
  </si>
  <si>
    <t>2024-03-06</t>
  </si>
  <si>
    <t>CUST1063</t>
  </si>
  <si>
    <t>Customer_137</t>
  </si>
  <si>
    <t>ORD10167</t>
  </si>
  <si>
    <t>2024-10-19</t>
  </si>
  <si>
    <t>CUST1111</t>
  </si>
  <si>
    <t>ORD10168</t>
  </si>
  <si>
    <t>2025-05-07</t>
  </si>
  <si>
    <t>CUST1090</t>
  </si>
  <si>
    <t>Customer_152</t>
  </si>
  <si>
    <t>ORD10169</t>
  </si>
  <si>
    <t>2024-09-15</t>
  </si>
  <si>
    <t>ORD10170</t>
  </si>
  <si>
    <t>CUST1088</t>
  </si>
  <si>
    <t>ORD10171</t>
  </si>
  <si>
    <t>ORD10172</t>
  </si>
  <si>
    <t>CUST1133</t>
  </si>
  <si>
    <t>ORD10173</t>
  </si>
  <si>
    <t>ORD10174</t>
  </si>
  <si>
    <t>2025-01-14</t>
  </si>
  <si>
    <t>Customer_165</t>
  </si>
  <si>
    <t>ORD10175</t>
  </si>
  <si>
    <t>2025-05-18</t>
  </si>
  <si>
    <t>ORD10176</t>
  </si>
  <si>
    <t>2025-06-02</t>
  </si>
  <si>
    <t>ORD10177</t>
  </si>
  <si>
    <t>2024-12-26</t>
  </si>
  <si>
    <t>CUST1036</t>
  </si>
  <si>
    <t>ORD10178</t>
  </si>
  <si>
    <t>2024-07-02</t>
  </si>
  <si>
    <t>CUST1107</t>
  </si>
  <si>
    <t>ORD10179</t>
  </si>
  <si>
    <t>2024-06-02</t>
  </si>
  <si>
    <t>ORD10180</t>
  </si>
  <si>
    <t>2025-06-20</t>
  </si>
  <si>
    <t>CUST1096</t>
  </si>
  <si>
    <t>ORD10181</t>
  </si>
  <si>
    <t>2025-03-16</t>
  </si>
  <si>
    <t>CUST1039</t>
  </si>
  <si>
    <t>ORD10182</t>
  </si>
  <si>
    <t>Customer_45</t>
  </si>
  <si>
    <t>ORD10183</t>
  </si>
  <si>
    <t>ORD10184</t>
  </si>
  <si>
    <t>ORD10185</t>
  </si>
  <si>
    <t>Customer_32</t>
  </si>
  <si>
    <t>ORD10186</t>
  </si>
  <si>
    <t>Customer_109</t>
  </si>
  <si>
    <t>ORD10187</t>
  </si>
  <si>
    <t>2025-05-15</t>
  </si>
  <si>
    <t>ORD10188</t>
  </si>
  <si>
    <t>Customer_3</t>
  </si>
  <si>
    <t>ORD10189</t>
  </si>
  <si>
    <t>ORD10190</t>
  </si>
  <si>
    <t>CUST1004</t>
  </si>
  <si>
    <t>Customer_114</t>
  </si>
  <si>
    <t>ORD10191</t>
  </si>
  <si>
    <t>2025-03-07</t>
  </si>
  <si>
    <t>Customer_108</t>
  </si>
  <si>
    <t>ORD10192</t>
  </si>
  <si>
    <t>2024-03-05</t>
  </si>
  <si>
    <t>CUST1072</t>
  </si>
  <si>
    <t>Customer_141</t>
  </si>
  <si>
    <t>ORD10193</t>
  </si>
  <si>
    <t>2024-03-08</t>
  </si>
  <si>
    <t>ORD10194</t>
  </si>
  <si>
    <t>2024-12-15</t>
  </si>
  <si>
    <t>CUST1115</t>
  </si>
  <si>
    <t>Customer_171</t>
  </si>
  <si>
    <t>ORD10195</t>
  </si>
  <si>
    <t>2024-11-16</t>
  </si>
  <si>
    <t>Customer_52</t>
  </si>
  <si>
    <t>ORD10196</t>
  </si>
  <si>
    <t>2024-03-11</t>
  </si>
  <si>
    <t>ORD10197</t>
  </si>
  <si>
    <t>2024-12-07</t>
  </si>
  <si>
    <t>ORD10198</t>
  </si>
  <si>
    <t>2024-10-02</t>
  </si>
  <si>
    <t>Customer_103</t>
  </si>
  <si>
    <t>ORD10199</t>
  </si>
  <si>
    <t>2024-08-16</t>
  </si>
  <si>
    <t>CUST1135</t>
  </si>
  <si>
    <t>ORD10200</t>
  </si>
  <si>
    <t>2024-05-03</t>
  </si>
  <si>
    <t>CUST1102</t>
  </si>
  <si>
    <t>Customer_97</t>
  </si>
  <si>
    <t>ORD10201</t>
  </si>
  <si>
    <t>Customer_177</t>
  </si>
  <si>
    <t>ORD10202</t>
  </si>
  <si>
    <t>ORD10203</t>
  </si>
  <si>
    <t>2025-04-14</t>
  </si>
  <si>
    <t>Customer_25</t>
  </si>
  <si>
    <t>ORD10204</t>
  </si>
  <si>
    <t>Customer_49</t>
  </si>
  <si>
    <t>ORD10205</t>
  </si>
  <si>
    <t>2024-06-17</t>
  </si>
  <si>
    <t>ORD10206</t>
  </si>
  <si>
    <t>CUST1109</t>
  </si>
  <si>
    <t>ORD10207</t>
  </si>
  <si>
    <t>2024-07-24</t>
  </si>
  <si>
    <t>ORD10208</t>
  </si>
  <si>
    <t>ORD10209</t>
  </si>
  <si>
    <t>Customer_160</t>
  </si>
  <si>
    <t>ORD10210</t>
  </si>
  <si>
    <t>2025-05-28</t>
  </si>
  <si>
    <t>ORD10211</t>
  </si>
  <si>
    <t>2024-05-12</t>
  </si>
  <si>
    <t>ORD10212</t>
  </si>
  <si>
    <t>2024-08-04</t>
  </si>
  <si>
    <t>CUST1125</t>
  </si>
  <si>
    <t>ORD10213</t>
  </si>
  <si>
    <t>2024-01-15</t>
  </si>
  <si>
    <t>CUST1136</t>
  </si>
  <si>
    <t>ORD10214</t>
  </si>
  <si>
    <t>2024-05-18</t>
  </si>
  <si>
    <t>CUST1122</t>
  </si>
  <si>
    <t>ORD10215</t>
  </si>
  <si>
    <t>Customer_10</t>
  </si>
  <si>
    <t>ORD10216</t>
  </si>
  <si>
    <t>CUST1050</t>
  </si>
  <si>
    <t>ORD10217</t>
  </si>
  <si>
    <t>2024-10-28</t>
  </si>
  <si>
    <t>ORD10218</t>
  </si>
  <si>
    <t>ORD10219</t>
  </si>
  <si>
    <t>2024-01-20</t>
  </si>
  <si>
    <t>ORD10220</t>
  </si>
  <si>
    <t>2024-09-21</t>
  </si>
  <si>
    <t>ORD10221</t>
  </si>
  <si>
    <t>2024-02-04</t>
  </si>
  <si>
    <t>ORD10222</t>
  </si>
  <si>
    <t>2024-08-20</t>
  </si>
  <si>
    <t>ORD10223</t>
  </si>
  <si>
    <t>ORD10224</t>
  </si>
  <si>
    <t>ORD10225</t>
  </si>
  <si>
    <t>ORD10226</t>
  </si>
  <si>
    <t>2024-05-02</t>
  </si>
  <si>
    <t>ORD10227</t>
  </si>
  <si>
    <t>2024-02-06</t>
  </si>
  <si>
    <t>Customer_95</t>
  </si>
  <si>
    <t>ORD10228</t>
  </si>
  <si>
    <t>2024-01-08</t>
  </si>
  <si>
    <t>ORD10229</t>
  </si>
  <si>
    <t>ORD10230</t>
  </si>
  <si>
    <t>2024-12-20</t>
  </si>
  <si>
    <t>CUST1083</t>
  </si>
  <si>
    <t>ORD10231</t>
  </si>
  <si>
    <t>2025-06-23</t>
  </si>
  <si>
    <t>ORD10232</t>
  </si>
  <si>
    <t>2024-09-17</t>
  </si>
  <si>
    <t>ORD10233</t>
  </si>
  <si>
    <t>ORD10234</t>
  </si>
  <si>
    <t>2024-01-30</t>
  </si>
  <si>
    <t>ORD10235</t>
  </si>
  <si>
    <t>2025-04-04</t>
  </si>
  <si>
    <t>ORD10236</t>
  </si>
  <si>
    <t>ORD10237</t>
  </si>
  <si>
    <t>2024-01-01</t>
  </si>
  <si>
    <t>ORD10238</t>
  </si>
  <si>
    <t>ORD10239</t>
  </si>
  <si>
    <t>2024-02-14</t>
  </si>
  <si>
    <t>Customer_144</t>
  </si>
  <si>
    <t>ORD10240</t>
  </si>
  <si>
    <t>CUST1019</t>
  </si>
  <si>
    <t>ORD10241</t>
  </si>
  <si>
    <t>ORD10242</t>
  </si>
  <si>
    <t>2024-08-07</t>
  </si>
  <si>
    <t>CUST1057</t>
  </si>
  <si>
    <t>ORD10243</t>
  </si>
  <si>
    <t>CUST1146</t>
  </si>
  <si>
    <t>ORD10244</t>
  </si>
  <si>
    <t>ORD10245</t>
  </si>
  <si>
    <t>CUST1003</t>
  </si>
  <si>
    <t>Customer_113</t>
  </si>
  <si>
    <t>ORD10246</t>
  </si>
  <si>
    <t>ORD10247</t>
  </si>
  <si>
    <t>2024-07-03</t>
  </si>
  <si>
    <t>ORD10248</t>
  </si>
  <si>
    <t>2024-05-17</t>
  </si>
  <si>
    <t>Customer_50</t>
  </si>
  <si>
    <t>ORD10249</t>
  </si>
  <si>
    <t>2024-01-31</t>
  </si>
  <si>
    <t>CUST1067</t>
  </si>
  <si>
    <t>Customer_124</t>
  </si>
  <si>
    <t>ORD10250</t>
  </si>
  <si>
    <t>ORD10251</t>
  </si>
  <si>
    <t>ORD10252</t>
  </si>
  <si>
    <t>ORD10253</t>
  </si>
  <si>
    <t>2024-02-05</t>
  </si>
  <si>
    <t>ORD10254</t>
  </si>
  <si>
    <t>ORD10255</t>
  </si>
  <si>
    <t>ORD10256</t>
  </si>
  <si>
    <t>2024-03-18</t>
  </si>
  <si>
    <t>ORD10257</t>
  </si>
  <si>
    <t>2024-08-01</t>
  </si>
  <si>
    <t>Customer_66</t>
  </si>
  <si>
    <t>ORD10258</t>
  </si>
  <si>
    <t>ORD10259</t>
  </si>
  <si>
    <t>2024-07-15</t>
  </si>
  <si>
    <t>Customer_164</t>
  </si>
  <si>
    <t>ORD10260</t>
  </si>
  <si>
    <t>2025-04-09</t>
  </si>
  <si>
    <t>CUST1071</t>
  </si>
  <si>
    <t>ORD10261</t>
  </si>
  <si>
    <t>ORD10262</t>
  </si>
  <si>
    <t>2024-06-23</t>
  </si>
  <si>
    <t>Customer_14</t>
  </si>
  <si>
    <t>ORD10263</t>
  </si>
  <si>
    <t>ORD10264</t>
  </si>
  <si>
    <t>ORD10265</t>
  </si>
  <si>
    <t>Customer_59</t>
  </si>
  <si>
    <t>ORD10266</t>
  </si>
  <si>
    <t>2024-10-14</t>
  </si>
  <si>
    <t>ORD10267</t>
  </si>
  <si>
    <t>ORD10268</t>
  </si>
  <si>
    <t>ORD10269</t>
  </si>
  <si>
    <t>2024-05-23</t>
  </si>
  <si>
    <t>ORD10270</t>
  </si>
  <si>
    <t>CUST1091</t>
  </si>
  <si>
    <t>ORD10271</t>
  </si>
  <si>
    <t>2025-01-13</t>
  </si>
  <si>
    <t>CUST1078</t>
  </si>
  <si>
    <t>Customer_150</t>
  </si>
  <si>
    <t>ORD10272</t>
  </si>
  <si>
    <t>ORD10273</t>
  </si>
  <si>
    <t>ORD10274</t>
  </si>
  <si>
    <t>Customer_92</t>
  </si>
  <si>
    <t>ORD10275</t>
  </si>
  <si>
    <t>ORD10276</t>
  </si>
  <si>
    <t>ORD10277</t>
  </si>
  <si>
    <t>2024-10-26</t>
  </si>
  <si>
    <t>CUST1045</t>
  </si>
  <si>
    <t>ORD10278</t>
  </si>
  <si>
    <t>ORD10279</t>
  </si>
  <si>
    <t>2025-01-19</t>
  </si>
  <si>
    <t>ORD10280</t>
  </si>
  <si>
    <t>Customer_57</t>
  </si>
  <si>
    <t>ORD10281</t>
  </si>
  <si>
    <t>2024-12-25</t>
  </si>
  <si>
    <t>ORD10282</t>
  </si>
  <si>
    <t>2024-06-08</t>
  </si>
  <si>
    <t>CUST1066</t>
  </si>
  <si>
    <t>Customer_79</t>
  </si>
  <si>
    <t>ORD10283</t>
  </si>
  <si>
    <t>2024-01-09</t>
  </si>
  <si>
    <t>ORD10284</t>
  </si>
  <si>
    <t>2024-01-29</t>
  </si>
  <si>
    <t>ORD10285</t>
  </si>
  <si>
    <t>CUST1112</t>
  </si>
  <si>
    <t>ORD10286</t>
  </si>
  <si>
    <t>2024-04-13</t>
  </si>
  <si>
    <t>ORD10287</t>
  </si>
  <si>
    <t>2025-03-05</t>
  </si>
  <si>
    <t>ORD10288</t>
  </si>
  <si>
    <t>2025-01-01</t>
  </si>
  <si>
    <t>ORD10289</t>
  </si>
  <si>
    <t>2024-09-19</t>
  </si>
  <si>
    <t>ORD10290</t>
  </si>
  <si>
    <t>2024-02-11</t>
  </si>
  <si>
    <t>ORD10291</t>
  </si>
  <si>
    <t>ORD10292</t>
  </si>
  <si>
    <t>Customer_135</t>
  </si>
  <si>
    <t>ORD10293</t>
  </si>
  <si>
    <t>2024-12-27</t>
  </si>
  <si>
    <t>ORD10294</t>
  </si>
  <si>
    <t>2024-04-08</t>
  </si>
  <si>
    <t>CUST1055</t>
  </si>
  <si>
    <t>ORD10295</t>
  </si>
  <si>
    <t>2024-12-29</t>
  </si>
  <si>
    <t>ORD10296</t>
  </si>
  <si>
    <t>2025-05-21</t>
  </si>
  <si>
    <t>ORD10297</t>
  </si>
  <si>
    <t>ORD10298</t>
  </si>
  <si>
    <t>ORD10299</t>
  </si>
  <si>
    <t>2025-02-14</t>
  </si>
  <si>
    <t>ORD10300</t>
  </si>
  <si>
    <t>ORD10301</t>
  </si>
  <si>
    <t>2024-12-04</t>
  </si>
  <si>
    <t>ORD10302</t>
  </si>
  <si>
    <t>2025-06-10</t>
  </si>
  <si>
    <t>ORD10303</t>
  </si>
  <si>
    <t>2025-03-19</t>
  </si>
  <si>
    <t>ORD10304</t>
  </si>
  <si>
    <t>Customer_43</t>
  </si>
  <si>
    <t>ORD10305</t>
  </si>
  <si>
    <t>2024-05-14</t>
  </si>
  <si>
    <t>Customer_51</t>
  </si>
  <si>
    <t>ORD10306</t>
  </si>
  <si>
    <t>ORD10307</t>
  </si>
  <si>
    <t>ORD10308</t>
  </si>
  <si>
    <t>ORD10309</t>
  </si>
  <si>
    <t>2025-02-26</t>
  </si>
  <si>
    <t>Customer_134</t>
  </si>
  <si>
    <t>ORD10310</t>
  </si>
  <si>
    <t>2025-05-22</t>
  </si>
  <si>
    <t>ORD10311</t>
  </si>
  <si>
    <t>ORD10312</t>
  </si>
  <si>
    <t>2025-03-04</t>
  </si>
  <si>
    <t>ORD10313</t>
  </si>
  <si>
    <t>ORD10314</t>
  </si>
  <si>
    <t>ORD10315</t>
  </si>
  <si>
    <t>2024-06-19</t>
  </si>
  <si>
    <t>CUST1053</t>
  </si>
  <si>
    <t>ORD10316</t>
  </si>
  <si>
    <t>ORD10317</t>
  </si>
  <si>
    <t>ORD10318</t>
  </si>
  <si>
    <t>2024-12-13</t>
  </si>
  <si>
    <t>ORD10319</t>
  </si>
  <si>
    <t>2024-04-11</t>
  </si>
  <si>
    <t>ORD10320</t>
  </si>
  <si>
    <t>ORD10321</t>
  </si>
  <si>
    <t>2024-11-02</t>
  </si>
  <si>
    <t>Customer_85</t>
  </si>
  <si>
    <t>ORD10322</t>
  </si>
  <si>
    <t>2024-03-02</t>
  </si>
  <si>
    <t>ORD10323</t>
  </si>
  <si>
    <t>ORD10324</t>
  </si>
  <si>
    <t>2024-07-06</t>
  </si>
  <si>
    <t>CUST1094</t>
  </si>
  <si>
    <t>ORD10325</t>
  </si>
  <si>
    <t>ORD10326</t>
  </si>
  <si>
    <t>2024-05-05</t>
  </si>
  <si>
    <t>ORD10327</t>
  </si>
  <si>
    <t>ORD10328</t>
  </si>
  <si>
    <t>2025-01-26</t>
  </si>
  <si>
    <t>ORD10329</t>
  </si>
  <si>
    <t>2024-08-17</t>
  </si>
  <si>
    <t>Customer_121</t>
  </si>
  <si>
    <t>ORD10330</t>
  </si>
  <si>
    <t>2024-07-08</t>
  </si>
  <si>
    <t>Customer_140</t>
  </si>
  <si>
    <t>ORD10331</t>
  </si>
  <si>
    <t>2024-04-27</t>
  </si>
  <si>
    <t>ORD10332</t>
  </si>
  <si>
    <t>ORD10333</t>
  </si>
  <si>
    <t>2024-02-08</t>
  </si>
  <si>
    <t>ORD10334</t>
  </si>
  <si>
    <t>2024-09-20</t>
  </si>
  <si>
    <t>ORD10335</t>
  </si>
  <si>
    <t>CUST1058</t>
  </si>
  <si>
    <t>ORD10336</t>
  </si>
  <si>
    <t>2025-03-27</t>
  </si>
  <si>
    <t>ORD10337</t>
  </si>
  <si>
    <t>2025-04-08</t>
  </si>
  <si>
    <t>ORD10338</t>
  </si>
  <si>
    <t>2024-02-17</t>
  </si>
  <si>
    <t>ORD10339</t>
  </si>
  <si>
    <t>2025-04-20</t>
  </si>
  <si>
    <t>ORD10340</t>
  </si>
  <si>
    <t>2025-02-13</t>
  </si>
  <si>
    <t>ORD10341</t>
  </si>
  <si>
    <t>Customer_138</t>
  </si>
  <si>
    <t>ORD10342</t>
  </si>
  <si>
    <t>2025-03-03</t>
  </si>
  <si>
    <t>ORD10343</t>
  </si>
  <si>
    <t>ORD10344</t>
  </si>
  <si>
    <t>2024-12-10</t>
  </si>
  <si>
    <t>ORD10345</t>
  </si>
  <si>
    <t>ORD10346</t>
  </si>
  <si>
    <t>ORD10347</t>
  </si>
  <si>
    <t>ORD10348</t>
  </si>
  <si>
    <t>2024-06-30</t>
  </si>
  <si>
    <t>ORD10349</t>
  </si>
  <si>
    <t>2025-05-14</t>
  </si>
  <si>
    <t>ORD10350</t>
  </si>
  <si>
    <t>ORD10351</t>
  </si>
  <si>
    <t>ORD10352</t>
  </si>
  <si>
    <t>CUST1144</t>
  </si>
  <si>
    <t>ORD10353</t>
  </si>
  <si>
    <t>ORD10354</t>
  </si>
  <si>
    <t>2024-03-16</t>
  </si>
  <si>
    <t>ORD10355</t>
  </si>
  <si>
    <t>ORD10356</t>
  </si>
  <si>
    <t>2025-06-13</t>
  </si>
  <si>
    <t>Customer_22</t>
  </si>
  <si>
    <t>ORD10357</t>
  </si>
  <si>
    <t>2024-12-03</t>
  </si>
  <si>
    <t>ORD10358</t>
  </si>
  <si>
    <t>2024-09-26</t>
  </si>
  <si>
    <t>ORD10359</t>
  </si>
  <si>
    <t>2024-06-16</t>
  </si>
  <si>
    <t>Customer_38</t>
  </si>
  <si>
    <t>ORD10360</t>
  </si>
  <si>
    <t>ORD10361</t>
  </si>
  <si>
    <t>CUST1148</t>
  </si>
  <si>
    <t>Customer_5</t>
  </si>
  <si>
    <t>ORD10362</t>
  </si>
  <si>
    <t>ORD10363</t>
  </si>
  <si>
    <t>ORD10364</t>
  </si>
  <si>
    <t>2024-05-31</t>
  </si>
  <si>
    <t>CUST1028</t>
  </si>
  <si>
    <t>Customer_73</t>
  </si>
  <si>
    <t>ORD10365</t>
  </si>
  <si>
    <t>2024-08-09</t>
  </si>
  <si>
    <t>Customer_90</t>
  </si>
  <si>
    <t>ORD10366</t>
  </si>
  <si>
    <t>ORD10367</t>
  </si>
  <si>
    <t>2025-03-28</t>
  </si>
  <si>
    <t>ORD10368</t>
  </si>
  <si>
    <t>2024-04-15</t>
  </si>
  <si>
    <t>ORD10369</t>
  </si>
  <si>
    <t>ORD10370</t>
  </si>
  <si>
    <t>2024-04-10</t>
  </si>
  <si>
    <t>ORD10371</t>
  </si>
  <si>
    <t>2024-11-17</t>
  </si>
  <si>
    <t>ORD10372</t>
  </si>
  <si>
    <t>2024-08-11</t>
  </si>
  <si>
    <t>ORD10373</t>
  </si>
  <si>
    <t>2024-09-27</t>
  </si>
  <si>
    <t>ORD10374</t>
  </si>
  <si>
    <t>ORD10375</t>
  </si>
  <si>
    <t>ORD10376</t>
  </si>
  <si>
    <t>2025-06-15</t>
  </si>
  <si>
    <t>Customer_166</t>
  </si>
  <si>
    <t>ORD10377</t>
  </si>
  <si>
    <t>2025-05-25</t>
  </si>
  <si>
    <t>ORD10378</t>
  </si>
  <si>
    <t>ORD10379</t>
  </si>
  <si>
    <t>2024-01-03</t>
  </si>
  <si>
    <t>ORD10380</t>
  </si>
  <si>
    <t>CUST1020</t>
  </si>
  <si>
    <t>ORD10381</t>
  </si>
  <si>
    <t>2025-01-28</t>
  </si>
  <si>
    <t>Customer_142</t>
  </si>
  <si>
    <t>ORD10382</t>
  </si>
  <si>
    <t>2024-02-07</t>
  </si>
  <si>
    <t>ORD10383</t>
  </si>
  <si>
    <t>2024-03-24</t>
  </si>
  <si>
    <t>ORD10384</t>
  </si>
  <si>
    <t>ORD10385</t>
  </si>
  <si>
    <t>2024-05-29</t>
  </si>
  <si>
    <t>ORD10386</t>
  </si>
  <si>
    <t>ORD10387</t>
  </si>
  <si>
    <t>2024-04-19</t>
  </si>
  <si>
    <t>ORD10388</t>
  </si>
  <si>
    <t>CUST1099</t>
  </si>
  <si>
    <t>Customer_178</t>
  </si>
  <si>
    <t>ORD10389</t>
  </si>
  <si>
    <t>2025-01-23</t>
  </si>
  <si>
    <t>ORD10390</t>
  </si>
  <si>
    <t>2024-08-21</t>
  </si>
  <si>
    <t>ORD10391</t>
  </si>
  <si>
    <t>2024-10-11</t>
  </si>
  <si>
    <t>ORD10392</t>
  </si>
  <si>
    <t>ORD10393</t>
  </si>
  <si>
    <t>ORD10394</t>
  </si>
  <si>
    <t>ORD10395</t>
  </si>
  <si>
    <t>2025-03-23</t>
  </si>
  <si>
    <t>ORD10396</t>
  </si>
  <si>
    <t>2025-04-07</t>
  </si>
  <si>
    <t>CUST1100</t>
  </si>
  <si>
    <t>ORD10397</t>
  </si>
  <si>
    <t>ORD10398</t>
  </si>
  <si>
    <t>ORD10399</t>
  </si>
  <si>
    <t>2024-08-24</t>
  </si>
  <si>
    <t>ORD10400</t>
  </si>
  <si>
    <t>ORD10401</t>
  </si>
  <si>
    <t>2024-10-27</t>
  </si>
  <si>
    <t>CUST1073</t>
  </si>
  <si>
    <t>ORD10402</t>
  </si>
  <si>
    <t>ORD10403</t>
  </si>
  <si>
    <t>ORD10404</t>
  </si>
  <si>
    <t>ORD10405</t>
  </si>
  <si>
    <t>2024-03-01</t>
  </si>
  <si>
    <t>Customer_174</t>
  </si>
  <si>
    <t>ORD10406</t>
  </si>
  <si>
    <t>ORD10407</t>
  </si>
  <si>
    <t>ORD10408</t>
  </si>
  <si>
    <t>2025-02-06</t>
  </si>
  <si>
    <t>CUST1131</t>
  </si>
  <si>
    <t>ORD10409</t>
  </si>
  <si>
    <t>Customer_146</t>
  </si>
  <si>
    <t>ORD10410</t>
  </si>
  <si>
    <t>ORD10411</t>
  </si>
  <si>
    <t>ORD10412</t>
  </si>
  <si>
    <t>2024-08-18</t>
  </si>
  <si>
    <t>ORD10413</t>
  </si>
  <si>
    <t>CUST1137</t>
  </si>
  <si>
    <t>ORD10414</t>
  </si>
  <si>
    <t>2024-04-18</t>
  </si>
  <si>
    <t>ORD10415</t>
  </si>
  <si>
    <t>2025-03-21</t>
  </si>
  <si>
    <t>ORD10416</t>
  </si>
  <si>
    <t>2024-02-21</t>
  </si>
  <si>
    <t>ORD10417</t>
  </si>
  <si>
    <t>Customer_120</t>
  </si>
  <si>
    <t>ORD10418</t>
  </si>
  <si>
    <t>ORD10419</t>
  </si>
  <si>
    <t>Customer_36</t>
  </si>
  <si>
    <t>ORD10420</t>
  </si>
  <si>
    <t>ORD10421</t>
  </si>
  <si>
    <t>2024-11-30</t>
  </si>
  <si>
    <t>ORD10422</t>
  </si>
  <si>
    <t>ORD10423</t>
  </si>
  <si>
    <t>ORD10424</t>
  </si>
  <si>
    <t>ORD10425</t>
  </si>
  <si>
    <t>2025-05-31</t>
  </si>
  <si>
    <t>ORD10426</t>
  </si>
  <si>
    <t>2024-03-28</t>
  </si>
  <si>
    <t>ORD10427</t>
  </si>
  <si>
    <t>2024-11-20</t>
  </si>
  <si>
    <t>ORD10428</t>
  </si>
  <si>
    <t>ORD10429</t>
  </si>
  <si>
    <t>ORD10430</t>
  </si>
  <si>
    <t>CUST1014</t>
  </si>
  <si>
    <t>ORD10431</t>
  </si>
  <si>
    <t>ORD10432</t>
  </si>
  <si>
    <t>2024-12-02</t>
  </si>
  <si>
    <t>ORD10433</t>
  </si>
  <si>
    <t>2025-05-11</t>
  </si>
  <si>
    <t>ORD10434</t>
  </si>
  <si>
    <t>2025-04-25</t>
  </si>
  <si>
    <t>CUST1051</t>
  </si>
  <si>
    <t>Customer_126</t>
  </si>
  <si>
    <t>ORD10435</t>
  </si>
  <si>
    <t>ORD10436</t>
  </si>
  <si>
    <t>ORD10437</t>
  </si>
  <si>
    <t>ORD10438</t>
  </si>
  <si>
    <t>2025-02-15</t>
  </si>
  <si>
    <t>ORD10439</t>
  </si>
  <si>
    <t>ORD10440</t>
  </si>
  <si>
    <t>2025-04-28</t>
  </si>
  <si>
    <t>ORD10441</t>
  </si>
  <si>
    <t>ORD10442</t>
  </si>
  <si>
    <t>2025-02-21</t>
  </si>
  <si>
    <t>ORD10443</t>
  </si>
  <si>
    <t>2024-08-30</t>
  </si>
  <si>
    <t>ORD10444</t>
  </si>
  <si>
    <t>ORD10445</t>
  </si>
  <si>
    <t>ORD10446</t>
  </si>
  <si>
    <t>ORD10447</t>
  </si>
  <si>
    <t>ORD10448</t>
  </si>
  <si>
    <t>ORD10449</t>
  </si>
  <si>
    <t>2025-02-23</t>
  </si>
  <si>
    <t>ORD10450</t>
  </si>
  <si>
    <t>2024-10-16</t>
  </si>
  <si>
    <t>ORD10451</t>
  </si>
  <si>
    <t>ORD10452</t>
  </si>
  <si>
    <t>2025-06-17</t>
  </si>
  <si>
    <t>ORD10453</t>
  </si>
  <si>
    <t>ORD10454</t>
  </si>
  <si>
    <t>2025-04-17</t>
  </si>
  <si>
    <t>ORD10455</t>
  </si>
  <si>
    <t>2024-09-24</t>
  </si>
  <si>
    <t>ORD10456</t>
  </si>
  <si>
    <t>2024-05-24</t>
  </si>
  <si>
    <t>ORD10457</t>
  </si>
  <si>
    <t>ORD10458</t>
  </si>
  <si>
    <t>ORD10459</t>
  </si>
  <si>
    <t>2024-09-13</t>
  </si>
  <si>
    <t>ORD10460</t>
  </si>
  <si>
    <t>ORD10461</t>
  </si>
  <si>
    <t>ORD10462</t>
  </si>
  <si>
    <t>2025-01-21</t>
  </si>
  <si>
    <t>ORD10463</t>
  </si>
  <si>
    <t>2024-12-24</t>
  </si>
  <si>
    <t>ORD10464</t>
  </si>
  <si>
    <t>ORD10465</t>
  </si>
  <si>
    <t>ORD10466</t>
  </si>
  <si>
    <t>2024-11-15</t>
  </si>
  <si>
    <t>ORD10467</t>
  </si>
  <si>
    <t>2024-10-25</t>
  </si>
  <si>
    <t>ORD10468</t>
  </si>
  <si>
    <t>ORD10469</t>
  </si>
  <si>
    <t>ORD10470</t>
  </si>
  <si>
    <t>ORD10471</t>
  </si>
  <si>
    <t>2024-11-11</t>
  </si>
  <si>
    <t>ORD10472</t>
  </si>
  <si>
    <t>Customer_20</t>
  </si>
  <si>
    <t>ORD10473</t>
  </si>
  <si>
    <t>2025-02-16</t>
  </si>
  <si>
    <t>ORD10474</t>
  </si>
  <si>
    <t>ORD10475</t>
  </si>
  <si>
    <t>2024-11-06</t>
  </si>
  <si>
    <t>ORD10476</t>
  </si>
  <si>
    <t>ORD10477</t>
  </si>
  <si>
    <t>ORD10478</t>
  </si>
  <si>
    <t>ORD10479</t>
  </si>
  <si>
    <t>2024-10-23</t>
  </si>
  <si>
    <t>ORD10480</t>
  </si>
  <si>
    <t>2024-03-29</t>
  </si>
  <si>
    <t>ORD10481</t>
  </si>
  <si>
    <t>2024-11-27</t>
  </si>
  <si>
    <t>ORD10482</t>
  </si>
  <si>
    <t>ORD10483</t>
  </si>
  <si>
    <t>ORD10484</t>
  </si>
  <si>
    <t>ORD10485</t>
  </si>
  <si>
    <t>2024-11-10</t>
  </si>
  <si>
    <t>ORD10486</t>
  </si>
  <si>
    <t>ORD10487</t>
  </si>
  <si>
    <t>2024-02-18</t>
  </si>
  <si>
    <t>Customer_93</t>
  </si>
  <si>
    <t>ORD10488</t>
  </si>
  <si>
    <t>2024-08-26</t>
  </si>
  <si>
    <t>ORD10489</t>
  </si>
  <si>
    <t>2024-07-19</t>
  </si>
  <si>
    <t>ORD10490</t>
  </si>
  <si>
    <t>2024-06-01</t>
  </si>
  <si>
    <t>ORD10491</t>
  </si>
  <si>
    <t>ORD10492</t>
  </si>
  <si>
    <t>2025-05-12</t>
  </si>
  <si>
    <t>ORD10493</t>
  </si>
  <si>
    <t>ORD10494</t>
  </si>
  <si>
    <t>ORD10495</t>
  </si>
  <si>
    <t>2025-01-09</t>
  </si>
  <si>
    <t>ORD10496</t>
  </si>
  <si>
    <t>2024-05-08</t>
  </si>
  <si>
    <t>ORD10497</t>
  </si>
  <si>
    <t>ORD10498</t>
  </si>
  <si>
    <t>ORD10499</t>
  </si>
  <si>
    <t>2024-10-30</t>
  </si>
  <si>
    <t>ORD10500</t>
  </si>
  <si>
    <t>2025-06-04</t>
  </si>
  <si>
    <t>ORD10501</t>
  </si>
  <si>
    <t>CUST1030</t>
  </si>
  <si>
    <t>Year</t>
  </si>
  <si>
    <t>Month</t>
  </si>
  <si>
    <t>8)</t>
  </si>
  <si>
    <t>1)</t>
  </si>
  <si>
    <t>7)</t>
  </si>
  <si>
    <t>2)</t>
  </si>
  <si>
    <t>3)</t>
  </si>
  <si>
    <t>4)</t>
  </si>
  <si>
    <t>5)</t>
  </si>
  <si>
    <t>CUSTOMER</t>
  </si>
  <si>
    <t>Sum of Sales</t>
  </si>
  <si>
    <t>Row Labels</t>
  </si>
  <si>
    <t>SALES PERSON</t>
  </si>
  <si>
    <t>2024</t>
  </si>
  <si>
    <t>CATEGORY</t>
  </si>
  <si>
    <t>REGION</t>
  </si>
  <si>
    <t>Sum of Profit</t>
  </si>
  <si>
    <t>January</t>
  </si>
  <si>
    <t>February</t>
  </si>
  <si>
    <t>Grand Total</t>
  </si>
  <si>
    <t>March</t>
  </si>
  <si>
    <t>April</t>
  </si>
  <si>
    <t>May</t>
  </si>
  <si>
    <t>June</t>
  </si>
  <si>
    <t>July</t>
  </si>
  <si>
    <t>6)</t>
  </si>
  <si>
    <t>August</t>
  </si>
  <si>
    <t>September</t>
  </si>
  <si>
    <t>PAYMENT METHOD</t>
  </si>
  <si>
    <t>Count of Order_ID</t>
  </si>
  <si>
    <t>October</t>
  </si>
  <si>
    <t>November</t>
  </si>
  <si>
    <t>December</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</si>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</sst>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Red]&quot;₹&quot;\ #,##0.00"/>
  </numFmts>
  <fonts count="3" x14ac:knownFonts="1">
    <font>
      <sz val="11"/>
      <color theme="1"/>
      <name val="Calibri"/>
      <family val="2"/>
      <scheme val="minor"/>
    </font>
    <font>
      <b/>
      <sz val="11"/>
      <color rgb="FFFFFFFF"/>
      <name val="Calibri"/>
      <family val="2"/>
      <scheme val="minor"/>
    </font>
    <font>
      <b/>
      <sz val="2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3">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SALES PERSONS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tables'!$BB$10</c:f>
              <c:strCache>
                <c:ptCount val="1"/>
                <c:pt idx="0">
                  <c:v>Total</c:v>
                </c:pt>
              </c:strCache>
            </c:strRef>
          </c:tx>
          <c:spPr>
            <a:solidFill>
              <a:schemeClr val="accent1"/>
            </a:solidFill>
            <a:ln>
              <a:noFill/>
            </a:ln>
            <a:effectLst/>
          </c:spPr>
          <c:invertIfNegative val="0"/>
          <c:cat>
            <c:strRef>
              <c:f>'pivot tables'!$BA$11:$BA$17</c:f>
              <c:strCache>
                <c:ptCount val="6"/>
                <c:pt idx="0">
                  <c:v>Amit</c:v>
                </c:pt>
                <c:pt idx="1">
                  <c:v>Anjali</c:v>
                </c:pt>
                <c:pt idx="2">
                  <c:v>Sneha</c:v>
                </c:pt>
                <c:pt idx="3">
                  <c:v>Priya</c:v>
                </c:pt>
                <c:pt idx="4">
                  <c:v>Rahul</c:v>
                </c:pt>
                <c:pt idx="5">
                  <c:v>Kiran</c:v>
                </c:pt>
              </c:strCache>
            </c:strRef>
          </c:cat>
          <c:val>
            <c:numRef>
              <c:f>'pivot tables'!$BB$11:$BB$17</c:f>
              <c:numCache>
                <c:formatCode>General</c:formatCode>
                <c:ptCount val="6"/>
                <c:pt idx="0">
                  <c:v>110400</c:v>
                </c:pt>
                <c:pt idx="1">
                  <c:v>11325</c:v>
                </c:pt>
                <c:pt idx="2">
                  <c:v>11030</c:v>
                </c:pt>
                <c:pt idx="3">
                  <c:v>4320</c:v>
                </c:pt>
                <c:pt idx="4">
                  <c:v>3200</c:v>
                </c:pt>
                <c:pt idx="5">
                  <c:v>405</c:v>
                </c:pt>
              </c:numCache>
            </c:numRef>
          </c:val>
          <c:extLst>
            <c:ext xmlns:c16="http://schemas.microsoft.com/office/drawing/2014/chart" uri="{C3380CC4-5D6E-409C-BE32-E72D297353CC}">
              <c16:uniqueId val="{00000000-FA61-4406-A4F7-272E0063045E}"/>
            </c:ext>
          </c:extLst>
        </c:ser>
        <c:dLbls>
          <c:showLegendKey val="0"/>
          <c:showVal val="0"/>
          <c:showCatName val="0"/>
          <c:showSerName val="0"/>
          <c:showPercent val="0"/>
          <c:showBubbleSize val="0"/>
        </c:dLbls>
        <c:gapWidth val="219"/>
        <c:axId val="1996533888"/>
        <c:axId val="1308081360"/>
      </c:barChart>
      <c:catAx>
        <c:axId val="199653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81360"/>
        <c:crosses val="autoZero"/>
        <c:auto val="1"/>
        <c:lblAlgn val="ctr"/>
        <c:lblOffset val="100"/>
        <c:noMultiLvlLbl val="0"/>
      </c:catAx>
      <c:valAx>
        <c:axId val="130808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3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 CUSTOMER</a:t>
            </a:r>
            <a:endParaRPr lang="en-US" b="1"/>
          </a:p>
        </c:rich>
      </c:tx>
      <c:layout>
        <c:manualLayout>
          <c:xMode val="edge"/>
          <c:yMode val="edge"/>
          <c:x val="0.3957499999999999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tables'!$BN$9</c:f>
              <c:strCache>
                <c:ptCount val="1"/>
                <c:pt idx="0">
                  <c:v>Total</c:v>
                </c:pt>
              </c:strCache>
            </c:strRef>
          </c:tx>
          <c:spPr>
            <a:solidFill>
              <a:schemeClr val="accent1"/>
            </a:solidFill>
            <a:ln>
              <a:noFill/>
            </a:ln>
            <a:effectLst/>
          </c:spPr>
          <c:invertIfNegative val="0"/>
          <c:cat>
            <c:strRef>
              <c:f>'pivot tables'!$BM$10:$BM$20</c:f>
              <c:strCache>
                <c:ptCount val="10"/>
                <c:pt idx="0">
                  <c:v>Customer_169</c:v>
                </c:pt>
                <c:pt idx="1">
                  <c:v>Customer_119</c:v>
                </c:pt>
                <c:pt idx="2">
                  <c:v>Customer_179</c:v>
                </c:pt>
                <c:pt idx="3">
                  <c:v>Customer_114</c:v>
                </c:pt>
                <c:pt idx="4">
                  <c:v>Customer_46</c:v>
                </c:pt>
                <c:pt idx="5">
                  <c:v>Customer_23</c:v>
                </c:pt>
                <c:pt idx="6">
                  <c:v>Customer_33</c:v>
                </c:pt>
                <c:pt idx="7">
                  <c:v>Customer_115</c:v>
                </c:pt>
                <c:pt idx="8">
                  <c:v>Customer_145</c:v>
                </c:pt>
                <c:pt idx="9">
                  <c:v>Customer_3</c:v>
                </c:pt>
              </c:strCache>
            </c:strRef>
          </c:cat>
          <c:val>
            <c:numRef>
              <c:f>'pivot tables'!$BN$10:$BN$20</c:f>
              <c:numCache>
                <c:formatCode>General</c:formatCode>
                <c:ptCount val="10"/>
                <c:pt idx="0">
                  <c:v>91600</c:v>
                </c:pt>
                <c:pt idx="1">
                  <c:v>40800</c:v>
                </c:pt>
                <c:pt idx="2">
                  <c:v>25650</c:v>
                </c:pt>
                <c:pt idx="3">
                  <c:v>24300</c:v>
                </c:pt>
                <c:pt idx="4">
                  <c:v>20400</c:v>
                </c:pt>
                <c:pt idx="5">
                  <c:v>17100</c:v>
                </c:pt>
                <c:pt idx="6">
                  <c:v>14400</c:v>
                </c:pt>
                <c:pt idx="7">
                  <c:v>11400</c:v>
                </c:pt>
                <c:pt idx="8">
                  <c:v>9450</c:v>
                </c:pt>
                <c:pt idx="9">
                  <c:v>8925</c:v>
                </c:pt>
              </c:numCache>
            </c:numRef>
          </c:val>
          <c:extLst>
            <c:ext xmlns:c16="http://schemas.microsoft.com/office/drawing/2014/chart" uri="{C3380CC4-5D6E-409C-BE32-E72D297353CC}">
              <c16:uniqueId val="{00000000-DBAC-4413-8402-61C2104340D4}"/>
            </c:ext>
          </c:extLst>
        </c:ser>
        <c:dLbls>
          <c:showLegendKey val="0"/>
          <c:showVal val="0"/>
          <c:showCatName val="0"/>
          <c:showSerName val="0"/>
          <c:showPercent val="0"/>
          <c:showBubbleSize val="0"/>
        </c:dLbls>
        <c:gapWidth val="219"/>
        <c:axId val="1417475984"/>
        <c:axId val="1308016560"/>
      </c:barChart>
      <c:catAx>
        <c:axId val="141747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16560"/>
        <c:crosses val="autoZero"/>
        <c:auto val="1"/>
        <c:lblAlgn val="ctr"/>
        <c:lblOffset val="100"/>
        <c:noMultiLvlLbl val="0"/>
      </c:catAx>
      <c:valAx>
        <c:axId val="130801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7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Electronics</c:v>
              </c:pt>
              <c:pt idx="1">
                <c:v>Furniture</c:v>
              </c:pt>
              <c:pt idx="2">
                <c:v>Clothing</c:v>
              </c:pt>
              <c:pt idx="3">
                <c:v>Office Supplies</c:v>
              </c:pt>
            </c:strLit>
          </c:cat>
          <c:val>
            <c:numLit>
              <c:formatCode>General</c:formatCode>
              <c:ptCount val="4"/>
              <c:pt idx="0">
                <c:v>11486625</c:v>
              </c:pt>
              <c:pt idx="1">
                <c:v>2345150</c:v>
              </c:pt>
              <c:pt idx="2">
                <c:v>664380</c:v>
              </c:pt>
              <c:pt idx="3">
                <c:v>67273.5</c:v>
              </c:pt>
            </c:numLit>
          </c:val>
          <c:extLst>
            <c:ext xmlns:c16="http://schemas.microsoft.com/office/drawing/2014/chart" uri="{C3380CC4-5D6E-409C-BE32-E72D297353CC}">
              <c16:uniqueId val="{00000000-9F12-4EF8-BDCE-DB21D06C83D2}"/>
            </c:ext>
          </c:extLst>
        </c:ser>
        <c:dLbls>
          <c:showLegendKey val="0"/>
          <c:showVal val="0"/>
          <c:showCatName val="0"/>
          <c:showSerName val="0"/>
          <c:showPercent val="0"/>
          <c:showBubbleSize val="0"/>
        </c:dLbls>
        <c:gapWidth val="115"/>
        <c:overlap val="-20"/>
        <c:axId val="729447440"/>
        <c:axId val="440068176"/>
      </c:barChart>
      <c:catAx>
        <c:axId val="729447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8176"/>
        <c:crosses val="autoZero"/>
        <c:auto val="1"/>
        <c:lblAlgn val="ctr"/>
        <c:lblOffset val="100"/>
        <c:noMultiLvlLbl val="0"/>
      </c:catAx>
      <c:valAx>
        <c:axId val="44006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44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2114678958692"/>
          <c:y val="0.16307947305191087"/>
          <c:w val="0.71638479520686327"/>
          <c:h val="0.69490925008434856"/>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South</c:v>
              </c:pt>
              <c:pt idx="1">
                <c:v>West</c:v>
              </c:pt>
              <c:pt idx="2">
                <c:v>North</c:v>
              </c:pt>
              <c:pt idx="3">
                <c:v>East</c:v>
              </c:pt>
            </c:strLit>
          </c:cat>
          <c:val>
            <c:numLit>
              <c:formatCode>General</c:formatCode>
              <c:ptCount val="4"/>
              <c:pt idx="0">
                <c:v>5516894.5</c:v>
              </c:pt>
              <c:pt idx="1">
                <c:v>4422756.5</c:v>
              </c:pt>
              <c:pt idx="2">
                <c:v>2395678</c:v>
              </c:pt>
              <c:pt idx="3">
                <c:v>2228099.5</c:v>
              </c:pt>
            </c:numLit>
          </c:val>
          <c:extLst>
            <c:ext xmlns:c16="http://schemas.microsoft.com/office/drawing/2014/chart" uri="{C3380CC4-5D6E-409C-BE32-E72D297353CC}">
              <c16:uniqueId val="{00000000-DF45-4464-AFA7-1BB94E5473A7}"/>
            </c:ext>
          </c:extLst>
        </c:ser>
        <c:dLbls>
          <c:showLegendKey val="0"/>
          <c:showVal val="0"/>
          <c:showCatName val="0"/>
          <c:showSerName val="0"/>
          <c:showPercent val="0"/>
          <c:showBubbleSize val="0"/>
        </c:dLbls>
        <c:gapWidth val="100"/>
        <c:overlap val="-24"/>
        <c:axId val="725528656"/>
        <c:axId val="452433424"/>
      </c:barChart>
      <c:catAx>
        <c:axId val="725528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2433424"/>
        <c:crosses val="autoZero"/>
        <c:auto val="1"/>
        <c:lblAlgn val="ctr"/>
        <c:lblOffset val="100"/>
        <c:noMultiLvlLbl val="0"/>
      </c:catAx>
      <c:valAx>
        <c:axId val="452433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5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Electronics</c:v>
              </c:pt>
              <c:pt idx="1">
                <c:v>Furniture</c:v>
              </c:pt>
              <c:pt idx="2">
                <c:v>Clothing</c:v>
              </c:pt>
              <c:pt idx="3">
                <c:v>Office Supplies</c:v>
              </c:pt>
            </c:strLit>
          </c:cat>
          <c:val>
            <c:numLit>
              <c:formatCode>General</c:formatCode>
              <c:ptCount val="4"/>
              <c:pt idx="0">
                <c:v>2132548.5999999996</c:v>
              </c:pt>
              <c:pt idx="1">
                <c:v>400868.27</c:v>
              </c:pt>
              <c:pt idx="2">
                <c:v>123901.09000000001</c:v>
              </c:pt>
              <c:pt idx="3">
                <c:v>12821.700000000006</c:v>
              </c:pt>
            </c:numLit>
          </c:val>
          <c:extLst>
            <c:ext xmlns:c16="http://schemas.microsoft.com/office/drawing/2014/chart" uri="{C3380CC4-5D6E-409C-BE32-E72D297353CC}">
              <c16:uniqueId val="{00000000-D23C-42EE-80BA-7B93151B14BE}"/>
            </c:ext>
          </c:extLst>
        </c:ser>
        <c:dLbls>
          <c:dLblPos val="inEnd"/>
          <c:showLegendKey val="0"/>
          <c:showVal val="1"/>
          <c:showCatName val="0"/>
          <c:showSerName val="0"/>
          <c:showPercent val="0"/>
          <c:showBubbleSize val="0"/>
        </c:dLbls>
        <c:gapWidth val="65"/>
        <c:axId val="1509263664"/>
        <c:axId val="440158896"/>
      </c:barChart>
      <c:catAx>
        <c:axId val="1509263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0158896"/>
        <c:crosses val="autoZero"/>
        <c:auto val="1"/>
        <c:lblAlgn val="ctr"/>
        <c:lblOffset val="100"/>
        <c:noMultiLvlLbl val="0"/>
      </c:catAx>
      <c:valAx>
        <c:axId val="4401588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926366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PAYMENT METHODS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D6-4519-8B5A-ACB95736F6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D6-4519-8B5A-ACB95736F66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D6-4519-8B5A-ACB95736F66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6D6-4519-8B5A-ACB95736F66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6D6-4519-8B5A-ACB95736F66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UPI</c:v>
              </c:pt>
              <c:pt idx="1">
                <c:v>Debit Card</c:v>
              </c:pt>
              <c:pt idx="2">
                <c:v>Credit Card</c:v>
              </c:pt>
              <c:pt idx="3">
                <c:v>Cash</c:v>
              </c:pt>
              <c:pt idx="4">
                <c:v>Net Banking</c:v>
              </c:pt>
            </c:strLit>
          </c:cat>
          <c:val>
            <c:numLit>
              <c:formatCode>General</c:formatCode>
              <c:ptCount val="5"/>
              <c:pt idx="0">
                <c:v>106</c:v>
              </c:pt>
              <c:pt idx="1">
                <c:v>106</c:v>
              </c:pt>
              <c:pt idx="2">
                <c:v>101</c:v>
              </c:pt>
              <c:pt idx="3">
                <c:v>98</c:v>
              </c:pt>
              <c:pt idx="4">
                <c:v>89</c:v>
              </c:pt>
            </c:numLit>
          </c:val>
          <c:extLst>
            <c:ext xmlns:c16="http://schemas.microsoft.com/office/drawing/2014/chart" uri="{C3380CC4-5D6E-409C-BE32-E72D297353CC}">
              <c16:uniqueId val="{0000000A-26D6-4519-8B5A-ACB95736F666}"/>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project.xlsx]pivot tables!PivotTable13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SALES PERSONS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tables'!$BA$11:$BA$17</c:f>
              <c:strCache>
                <c:ptCount val="6"/>
                <c:pt idx="0">
                  <c:v>Amit</c:v>
                </c:pt>
                <c:pt idx="1">
                  <c:v>Anjali</c:v>
                </c:pt>
                <c:pt idx="2">
                  <c:v>Sneha</c:v>
                </c:pt>
                <c:pt idx="3">
                  <c:v>Priya</c:v>
                </c:pt>
                <c:pt idx="4">
                  <c:v>Rahul</c:v>
                </c:pt>
                <c:pt idx="5">
                  <c:v>Kiran</c:v>
                </c:pt>
              </c:strCache>
            </c:strRef>
          </c:cat>
          <c:val>
            <c:numRef>
              <c:f>'pivot tables'!$BB$11:$BB$17</c:f>
              <c:numCache>
                <c:formatCode>General</c:formatCode>
                <c:ptCount val="6"/>
                <c:pt idx="0">
                  <c:v>110400</c:v>
                </c:pt>
                <c:pt idx="1">
                  <c:v>11325</c:v>
                </c:pt>
                <c:pt idx="2">
                  <c:v>11030</c:v>
                </c:pt>
                <c:pt idx="3">
                  <c:v>4320</c:v>
                </c:pt>
                <c:pt idx="4">
                  <c:v>3200</c:v>
                </c:pt>
                <c:pt idx="5">
                  <c:v>405</c:v>
                </c:pt>
              </c:numCache>
            </c:numRef>
          </c:val>
          <c:extLst>
            <c:ext xmlns:c16="http://schemas.microsoft.com/office/drawing/2014/chart" uri="{C3380CC4-5D6E-409C-BE32-E72D297353CC}">
              <c16:uniqueId val="{00000000-343F-4B6F-AA63-C298FBBD5967}"/>
            </c:ext>
          </c:extLst>
        </c:ser>
        <c:dLbls>
          <c:dLblPos val="inEnd"/>
          <c:showLegendKey val="0"/>
          <c:showVal val="1"/>
          <c:showCatName val="0"/>
          <c:showSerName val="0"/>
          <c:showPercent val="0"/>
          <c:showBubbleSize val="0"/>
        </c:dLbls>
        <c:gapWidth val="65"/>
        <c:axId val="1996533888"/>
        <c:axId val="1308081360"/>
      </c:barChart>
      <c:catAx>
        <c:axId val="1996533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8081360"/>
        <c:crosses val="autoZero"/>
        <c:auto val="1"/>
        <c:lblAlgn val="ctr"/>
        <c:lblOffset val="100"/>
        <c:noMultiLvlLbl val="0"/>
      </c:catAx>
      <c:valAx>
        <c:axId val="13080813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65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project.xlsx]pivot tables!PivotTable14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 CUSTOMER</a:t>
            </a:r>
          </a:p>
        </c:rich>
      </c:tx>
      <c:layout>
        <c:manualLayout>
          <c:xMode val="edge"/>
          <c:yMode val="edge"/>
          <c:x val="0.39574999999999999"/>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tables'!$BN$9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tables'!$BM$10:$BM$20</c:f>
              <c:strCache>
                <c:ptCount val="10"/>
                <c:pt idx="0">
                  <c:v>Customer_169</c:v>
                </c:pt>
                <c:pt idx="1">
                  <c:v>Customer_119</c:v>
                </c:pt>
                <c:pt idx="2">
                  <c:v>Customer_179</c:v>
                </c:pt>
                <c:pt idx="3">
                  <c:v>Customer_114</c:v>
                </c:pt>
                <c:pt idx="4">
                  <c:v>Customer_46</c:v>
                </c:pt>
                <c:pt idx="5">
                  <c:v>Customer_23</c:v>
                </c:pt>
                <c:pt idx="6">
                  <c:v>Customer_33</c:v>
                </c:pt>
                <c:pt idx="7">
                  <c:v>Customer_115</c:v>
                </c:pt>
                <c:pt idx="8">
                  <c:v>Customer_145</c:v>
                </c:pt>
                <c:pt idx="9">
                  <c:v>Customer_3</c:v>
                </c:pt>
              </c:strCache>
            </c:strRef>
          </c:cat>
          <c:val>
            <c:numRef>
              <c:f>'pivot tables'!$BN$10:$BN$20</c:f>
              <c:numCache>
                <c:formatCode>General</c:formatCode>
                <c:ptCount val="10"/>
                <c:pt idx="0">
                  <c:v>91600</c:v>
                </c:pt>
                <c:pt idx="1">
                  <c:v>40800</c:v>
                </c:pt>
                <c:pt idx="2">
                  <c:v>25650</c:v>
                </c:pt>
                <c:pt idx="3">
                  <c:v>24300</c:v>
                </c:pt>
                <c:pt idx="4">
                  <c:v>20400</c:v>
                </c:pt>
                <c:pt idx="5">
                  <c:v>17100</c:v>
                </c:pt>
                <c:pt idx="6">
                  <c:v>14400</c:v>
                </c:pt>
                <c:pt idx="7">
                  <c:v>11400</c:v>
                </c:pt>
                <c:pt idx="8">
                  <c:v>9450</c:v>
                </c:pt>
                <c:pt idx="9">
                  <c:v>8925</c:v>
                </c:pt>
              </c:numCache>
            </c:numRef>
          </c:val>
          <c:extLst>
            <c:ext xmlns:c16="http://schemas.microsoft.com/office/drawing/2014/chart" uri="{C3380CC4-5D6E-409C-BE32-E72D297353CC}">
              <c16:uniqueId val="{00000000-666B-4C34-8F2F-82E302E1DF60}"/>
            </c:ext>
          </c:extLst>
        </c:ser>
        <c:dLbls>
          <c:dLblPos val="inEnd"/>
          <c:showLegendKey val="0"/>
          <c:showVal val="1"/>
          <c:showCatName val="0"/>
          <c:showSerName val="0"/>
          <c:showPercent val="0"/>
          <c:showBubbleSize val="0"/>
        </c:dLbls>
        <c:gapWidth val="65"/>
        <c:axId val="1417475984"/>
        <c:axId val="1308016560"/>
      </c:barChart>
      <c:catAx>
        <c:axId val="1417475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8016560"/>
        <c:crosses val="autoZero"/>
        <c:auto val="1"/>
        <c:lblAlgn val="ctr"/>
        <c:lblOffset val="100"/>
        <c:noMultiLvlLbl val="0"/>
      </c:catAx>
      <c:valAx>
        <c:axId val="13080165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747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project.xlsx]pivot tables!PivotTable21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a:t>
            </a:r>
            <a:endParaRPr lang="en-US" sz="1600" b="1"/>
          </a:p>
        </c:rich>
      </c:tx>
      <c:layout>
        <c:manualLayout>
          <c:xMode val="edge"/>
          <c:yMode val="edge"/>
          <c:x val="0.34313814401388637"/>
          <c:y val="9.30115449839673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tables'!$M$10</c:f>
              <c:strCache>
                <c:ptCount val="1"/>
                <c:pt idx="0">
                  <c:v>Total</c:v>
                </c:pt>
              </c:strCache>
            </c:strRef>
          </c:tx>
          <c:spPr>
            <a:solidFill>
              <a:schemeClr val="accent1"/>
            </a:solidFill>
            <a:ln>
              <a:noFill/>
            </a:ln>
            <a:effectLst/>
          </c:spPr>
          <c:invertIfNegative val="0"/>
          <c:cat>
            <c:strRef>
              <c:f>'pivot tables'!$L$11:$L$17</c:f>
              <c:strCache>
                <c:ptCount val="6"/>
                <c:pt idx="0">
                  <c:v>Smartphone</c:v>
                </c:pt>
                <c:pt idx="1">
                  <c:v>Bookshelf</c:v>
                </c:pt>
                <c:pt idx="2">
                  <c:v>T-Shirt</c:v>
                </c:pt>
                <c:pt idx="3">
                  <c:v>Jacket</c:v>
                </c:pt>
                <c:pt idx="4">
                  <c:v>Headphones</c:v>
                </c:pt>
                <c:pt idx="5">
                  <c:v>Notebook</c:v>
                </c:pt>
              </c:strCache>
            </c:strRef>
          </c:cat>
          <c:val>
            <c:numRef>
              <c:f>'pivot tables'!$M$11:$M$17</c:f>
              <c:numCache>
                <c:formatCode>General</c:formatCode>
                <c:ptCount val="6"/>
                <c:pt idx="0">
                  <c:v>90000</c:v>
                </c:pt>
                <c:pt idx="1">
                  <c:v>20400</c:v>
                </c:pt>
                <c:pt idx="2">
                  <c:v>12200</c:v>
                </c:pt>
                <c:pt idx="3">
                  <c:v>8925</c:v>
                </c:pt>
                <c:pt idx="4">
                  <c:v>8750</c:v>
                </c:pt>
                <c:pt idx="5">
                  <c:v>405</c:v>
                </c:pt>
              </c:numCache>
            </c:numRef>
          </c:val>
          <c:extLst>
            <c:ext xmlns:c16="http://schemas.microsoft.com/office/drawing/2014/chart" uri="{C3380CC4-5D6E-409C-BE32-E72D297353CC}">
              <c16:uniqueId val="{00000000-F315-4702-970D-AB532155767D}"/>
            </c:ext>
          </c:extLst>
        </c:ser>
        <c:dLbls>
          <c:showLegendKey val="0"/>
          <c:showVal val="0"/>
          <c:showCatName val="0"/>
          <c:showSerName val="0"/>
          <c:showPercent val="0"/>
          <c:showBubbleSize val="0"/>
        </c:dLbls>
        <c:gapWidth val="182"/>
        <c:axId val="35706975"/>
        <c:axId val="1523634096"/>
      </c:barChart>
      <c:catAx>
        <c:axId val="3570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34096"/>
        <c:crosses val="autoZero"/>
        <c:auto val="1"/>
        <c:lblAlgn val="ctr"/>
        <c:lblOffset val="100"/>
        <c:noMultiLvlLbl val="0"/>
      </c:catAx>
      <c:valAx>
        <c:axId val="1523634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t>SALES</a:t>
            </a:r>
            <a:r>
              <a:rPr lang="en-US" b="1" baseline="0"/>
              <a:t> BY YEAR</a:t>
            </a:r>
            <a:endParaRPr lang="en-US" b="1"/>
          </a:p>
        </c:rich>
      </c:tx>
      <c:layout>
        <c:manualLayout>
          <c:xMode val="edge"/>
          <c:yMode val="edge"/>
          <c:x val="0.35177012338885771"/>
          <c:y val="0.12265663966970344"/>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12"/>
              <c:pt idx="0">
                <c:v>2024 January</c:v>
              </c:pt>
              <c:pt idx="1">
                <c:v>2024 February</c:v>
              </c:pt>
              <c:pt idx="2">
                <c:v>2024 March</c:v>
              </c:pt>
              <c:pt idx="3">
                <c:v>2024 April</c:v>
              </c:pt>
              <c:pt idx="4">
                <c:v>2024 May</c:v>
              </c:pt>
              <c:pt idx="5">
                <c:v>2024 June</c:v>
              </c:pt>
              <c:pt idx="6">
                <c:v>2024 July</c:v>
              </c:pt>
              <c:pt idx="7">
                <c:v>2024 August</c:v>
              </c:pt>
              <c:pt idx="8">
                <c:v>2024 September</c:v>
              </c:pt>
              <c:pt idx="9">
                <c:v>2024 October</c:v>
              </c:pt>
              <c:pt idx="10">
                <c:v>2024 November</c:v>
              </c:pt>
              <c:pt idx="11">
                <c:v>2024 December</c:v>
              </c:pt>
            </c:strLit>
          </c:cat>
          <c:val>
            <c:numLit>
              <c:formatCode>General</c:formatCode>
              <c:ptCount val="12"/>
              <c:pt idx="0">
                <c:v>988609.5</c:v>
              </c:pt>
              <c:pt idx="1">
                <c:v>529740.5</c:v>
              </c:pt>
              <c:pt idx="2">
                <c:v>610433</c:v>
              </c:pt>
              <c:pt idx="3">
                <c:v>635127.5</c:v>
              </c:pt>
              <c:pt idx="4">
                <c:v>490816</c:v>
              </c:pt>
              <c:pt idx="5">
                <c:v>1119154.5</c:v>
              </c:pt>
              <c:pt idx="6">
                <c:v>340654</c:v>
              </c:pt>
              <c:pt idx="7">
                <c:v>1076528</c:v>
              </c:pt>
              <c:pt idx="8">
                <c:v>1547705</c:v>
              </c:pt>
              <c:pt idx="9">
                <c:v>533990.5</c:v>
              </c:pt>
              <c:pt idx="10">
                <c:v>424575</c:v>
              </c:pt>
              <c:pt idx="11">
                <c:v>336244.5</c:v>
              </c:pt>
            </c:numLit>
          </c:val>
          <c:smooth val="0"/>
          <c:extLst>
            <c:ext xmlns:c16="http://schemas.microsoft.com/office/drawing/2014/chart" uri="{C3380CC4-5D6E-409C-BE32-E72D297353CC}">
              <c16:uniqueId val="{00000000-6C85-4D91-A9C1-845FADDB8FCF}"/>
            </c:ext>
          </c:extLst>
        </c:ser>
        <c:dLbls>
          <c:showLegendKey val="0"/>
          <c:showVal val="0"/>
          <c:showCatName val="0"/>
          <c:showSerName val="0"/>
          <c:showPercent val="0"/>
          <c:showBubbleSize val="0"/>
        </c:dLbls>
        <c:marker val="1"/>
        <c:smooth val="0"/>
        <c:axId val="1858625568"/>
        <c:axId val="19261455"/>
      </c:lineChart>
      <c:catAx>
        <c:axId val="185862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61455"/>
        <c:crosses val="autoZero"/>
        <c:auto val="1"/>
        <c:lblAlgn val="ctr"/>
        <c:lblOffset val="100"/>
        <c:noMultiLvlLbl val="0"/>
      </c:catAx>
      <c:valAx>
        <c:axId val="1926145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2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54</xdr:col>
      <xdr:colOff>212725</xdr:colOff>
      <xdr:row>8</xdr:row>
      <xdr:rowOff>31750</xdr:rowOff>
    </xdr:from>
    <xdr:to>
      <xdr:col>61</xdr:col>
      <xdr:colOff>282575</xdr:colOff>
      <xdr:row>23</xdr:row>
      <xdr:rowOff>12700</xdr:rowOff>
    </xdr:to>
    <xdr:graphicFrame macro="">
      <xdr:nvGraphicFramePr>
        <xdr:cNvPr id="19" name="Chart 18">
          <a:extLst>
            <a:ext uri="{FF2B5EF4-FFF2-40B4-BE49-F238E27FC236}">
              <a16:creationId xmlns:a16="http://schemas.microsoft.com/office/drawing/2014/main" id="{DC63C611-99B9-0FC5-5163-89F8CEA30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66</xdr:col>
      <xdr:colOff>85725</xdr:colOff>
      <xdr:row>7</xdr:row>
      <xdr:rowOff>63500</xdr:rowOff>
    </xdr:from>
    <xdr:to>
      <xdr:col>73</xdr:col>
      <xdr:colOff>390525</xdr:colOff>
      <xdr:row>22</xdr:row>
      <xdr:rowOff>44450</xdr:rowOff>
    </xdr:to>
    <xdr:graphicFrame macro="">
      <xdr:nvGraphicFramePr>
        <xdr:cNvPr id="20" name="Chart 19">
          <a:extLst>
            <a:ext uri="{FF2B5EF4-FFF2-40B4-BE49-F238E27FC236}">
              <a16:creationId xmlns:a16="http://schemas.microsoft.com/office/drawing/2014/main" id="{08956E9B-9DB5-94EE-1344-4E9027669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728594</xdr:colOff>
      <xdr:row>3</xdr:row>
      <xdr:rowOff>75372</xdr:rowOff>
    </xdr:from>
    <xdr:to>
      <xdr:col>2</xdr:col>
      <xdr:colOff>348147</xdr:colOff>
      <xdr:row>8</xdr:row>
      <xdr:rowOff>132522</xdr:rowOff>
    </xdr:to>
    <xdr:sp macro="" textlink="">
      <xdr:nvSpPr>
        <xdr:cNvPr id="2" name="Rectangle 1">
          <a:extLst>
            <a:ext uri="{FF2B5EF4-FFF2-40B4-BE49-F238E27FC236}">
              <a16:creationId xmlns:a16="http://schemas.microsoft.com/office/drawing/2014/main" id="{D530D44A-155C-468B-82A7-6AD88709A8C3}"/>
            </a:ext>
          </a:extLst>
        </xdr:cNvPr>
        <xdr:cNvSpPr/>
      </xdr:nvSpPr>
      <xdr:spPr>
        <a:xfrm>
          <a:off x="728594" y="613742"/>
          <a:ext cx="1303683" cy="954432"/>
        </a:xfrm>
        <a:prstGeom prst="rect">
          <a:avLst/>
        </a:prstGeom>
        <a:gradFill>
          <a:gsLst>
            <a:gs pos="0">
              <a:schemeClr val="accent3">
                <a:lumMod val="60000"/>
                <a:lumOff val="40000"/>
                <a:alpha val="78000"/>
              </a:schemeClr>
            </a:gs>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a:p>
          <a:pPr algn="ctr"/>
          <a:r>
            <a:rPr lang="en-IN" sz="1200" b="1">
              <a:solidFill>
                <a:sysClr val="windowText" lastClr="000000"/>
              </a:solidFill>
            </a:rPr>
            <a:t>TOTAL </a:t>
          </a:r>
          <a:r>
            <a:rPr lang="en-IN" sz="1200" b="1" baseline="0">
              <a:solidFill>
                <a:sysClr val="windowText" lastClr="000000"/>
              </a:solidFill>
            </a:rPr>
            <a:t>SALES</a:t>
          </a:r>
        </a:p>
        <a:p>
          <a:pPr algn="ctr"/>
          <a:r>
            <a:rPr lang="en-IN" sz="1200" b="1" i="0" u="none" strike="noStrike">
              <a:solidFill>
                <a:schemeClr val="lt1"/>
              </a:solidFill>
              <a:effectLst/>
              <a:latin typeface="+mn-lt"/>
              <a:ea typeface="+mn-ea"/>
              <a:cs typeface="+mn-cs"/>
            </a:rPr>
            <a:t>₹ 1,45,63,428.50</a:t>
          </a:r>
          <a:r>
            <a:rPr lang="en-IN" sz="1200" b="1">
              <a:effectLst/>
            </a:rPr>
            <a:t> </a:t>
          </a:r>
          <a:r>
            <a:rPr lang="en-IN" sz="1200" b="1">
              <a:solidFill>
                <a:sysClr val="windowText" lastClr="000000"/>
              </a:solidFill>
              <a:effectLst/>
            </a:rPr>
            <a:t> </a:t>
          </a:r>
          <a:endParaRPr lang="en-IN" sz="1200" b="1">
            <a:solidFill>
              <a:sysClr val="windowText" lastClr="000000"/>
            </a:solidFill>
          </a:endParaRPr>
        </a:p>
      </xdr:txBody>
    </xdr:sp>
    <xdr:clientData/>
  </xdr:twoCellAnchor>
  <xdr:twoCellAnchor>
    <xdr:from>
      <xdr:col>2</xdr:col>
      <xdr:colOff>671721</xdr:colOff>
      <xdr:row>3</xdr:row>
      <xdr:rowOff>39756</xdr:rowOff>
    </xdr:from>
    <xdr:to>
      <xdr:col>5</xdr:col>
      <xdr:colOff>8835</xdr:colOff>
      <xdr:row>8</xdr:row>
      <xdr:rowOff>117613</xdr:rowOff>
    </xdr:to>
    <xdr:sp macro="" textlink="">
      <xdr:nvSpPr>
        <xdr:cNvPr id="3" name="Rectangle 2">
          <a:extLst>
            <a:ext uri="{FF2B5EF4-FFF2-40B4-BE49-F238E27FC236}">
              <a16:creationId xmlns:a16="http://schemas.microsoft.com/office/drawing/2014/main" id="{3F3B2F13-7B1A-4856-9347-EFFDDAB01D1D}"/>
            </a:ext>
          </a:extLst>
        </xdr:cNvPr>
        <xdr:cNvSpPr/>
      </xdr:nvSpPr>
      <xdr:spPr>
        <a:xfrm>
          <a:off x="2355851" y="578126"/>
          <a:ext cx="1338745" cy="975139"/>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200" b="1">
            <a:solidFill>
              <a:schemeClr val="tx1"/>
            </a:solidFill>
          </a:endParaRPr>
        </a:p>
        <a:p>
          <a:pPr algn="ctr"/>
          <a:r>
            <a:rPr lang="en-IN" sz="1200" b="1">
              <a:solidFill>
                <a:schemeClr val="tx1"/>
              </a:solidFill>
            </a:rPr>
            <a:t>TOTAL PROFIT</a:t>
          </a:r>
        </a:p>
        <a:p>
          <a:pPr algn="ctr"/>
          <a:r>
            <a:rPr lang="en-IN" sz="1200" b="0" i="0" u="none" strike="noStrike">
              <a:solidFill>
                <a:schemeClr val="lt1"/>
              </a:solidFill>
              <a:effectLst/>
              <a:latin typeface="+mn-lt"/>
              <a:ea typeface="+mn-ea"/>
              <a:cs typeface="+mn-cs"/>
            </a:rPr>
            <a:t>₹ 26,70,139.66</a:t>
          </a:r>
          <a:r>
            <a:rPr lang="en-IN" sz="1200">
              <a:effectLst/>
            </a:rPr>
            <a:t> </a:t>
          </a:r>
          <a:endParaRPr lang="en-IN" sz="1200" b="1">
            <a:solidFill>
              <a:schemeClr val="tx1"/>
            </a:solidFill>
          </a:endParaRPr>
        </a:p>
      </xdr:txBody>
    </xdr:sp>
    <xdr:clientData/>
  </xdr:twoCellAnchor>
  <xdr:twoCellAnchor>
    <xdr:from>
      <xdr:col>5</xdr:col>
      <xdr:colOff>400326</xdr:colOff>
      <xdr:row>3</xdr:row>
      <xdr:rowOff>138043</xdr:rowOff>
    </xdr:from>
    <xdr:to>
      <xdr:col>8</xdr:col>
      <xdr:colOff>85034</xdr:colOff>
      <xdr:row>9</xdr:row>
      <xdr:rowOff>3036</xdr:rowOff>
    </xdr:to>
    <xdr:sp macro="" textlink="">
      <xdr:nvSpPr>
        <xdr:cNvPr id="4" name="Rectangle 3">
          <a:extLst>
            <a:ext uri="{FF2B5EF4-FFF2-40B4-BE49-F238E27FC236}">
              <a16:creationId xmlns:a16="http://schemas.microsoft.com/office/drawing/2014/main" id="{7E33B7D1-960A-45EF-9A5F-83E06D4E3CC8}"/>
            </a:ext>
          </a:extLst>
        </xdr:cNvPr>
        <xdr:cNvSpPr/>
      </xdr:nvSpPr>
      <xdr:spPr>
        <a:xfrm>
          <a:off x="4086087" y="676413"/>
          <a:ext cx="1506882" cy="941732"/>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100" b="1">
            <a:solidFill>
              <a:schemeClr val="tx1"/>
            </a:solidFill>
          </a:endParaRPr>
        </a:p>
        <a:p>
          <a:pPr algn="ctr"/>
          <a:r>
            <a:rPr lang="en-IN" sz="1200" b="1">
              <a:solidFill>
                <a:schemeClr val="tx1"/>
              </a:solidFill>
            </a:rPr>
            <a:t>TOTAL ORDERS</a:t>
          </a:r>
        </a:p>
        <a:p>
          <a:pPr algn="ctr"/>
          <a:r>
            <a:rPr lang="en-IN" sz="1200" b="1">
              <a:solidFill>
                <a:schemeClr val="bg1"/>
              </a:solidFill>
            </a:rPr>
            <a:t>500</a:t>
          </a:r>
        </a:p>
      </xdr:txBody>
    </xdr:sp>
    <xdr:clientData/>
  </xdr:twoCellAnchor>
  <xdr:twoCellAnchor>
    <xdr:from>
      <xdr:col>8</xdr:col>
      <xdr:colOff>408608</xdr:colOff>
      <xdr:row>3</xdr:row>
      <xdr:rowOff>150743</xdr:rowOff>
    </xdr:from>
    <xdr:to>
      <xdr:col>11</xdr:col>
      <xdr:colOff>4417</xdr:colOff>
      <xdr:row>9</xdr:row>
      <xdr:rowOff>9386</xdr:rowOff>
    </xdr:to>
    <xdr:sp macro="" textlink="">
      <xdr:nvSpPr>
        <xdr:cNvPr id="5" name="Rectangle 4">
          <a:extLst>
            <a:ext uri="{FF2B5EF4-FFF2-40B4-BE49-F238E27FC236}">
              <a16:creationId xmlns:a16="http://schemas.microsoft.com/office/drawing/2014/main" id="{020ADEA2-7BB6-4768-AC61-771AB3A6DEBF}"/>
            </a:ext>
          </a:extLst>
        </xdr:cNvPr>
        <xdr:cNvSpPr/>
      </xdr:nvSpPr>
      <xdr:spPr>
        <a:xfrm>
          <a:off x="5916543" y="689113"/>
          <a:ext cx="1417983" cy="935382"/>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100" b="1">
            <a:solidFill>
              <a:schemeClr val="tx1"/>
            </a:solidFill>
          </a:endParaRPr>
        </a:p>
        <a:p>
          <a:pPr algn="ctr"/>
          <a:r>
            <a:rPr lang="en-IN" sz="1200" b="1">
              <a:solidFill>
                <a:schemeClr val="tx1"/>
              </a:solidFill>
            </a:rPr>
            <a:t>TOTAL QUANTITY</a:t>
          </a:r>
        </a:p>
        <a:p>
          <a:pPr algn="ctr"/>
          <a:r>
            <a:rPr lang="en-IN" sz="1200" b="1">
              <a:solidFill>
                <a:schemeClr val="bg1"/>
              </a:solidFill>
            </a:rPr>
            <a:t>1500</a:t>
          </a:r>
        </a:p>
      </xdr:txBody>
    </xdr:sp>
    <xdr:clientData/>
  </xdr:twoCellAnchor>
  <xdr:twoCellAnchor>
    <xdr:from>
      <xdr:col>11</xdr:col>
      <xdr:colOff>573157</xdr:colOff>
      <xdr:row>4</xdr:row>
      <xdr:rowOff>0</xdr:rowOff>
    </xdr:from>
    <xdr:to>
      <xdr:col>14</xdr:col>
      <xdr:colOff>175316</xdr:colOff>
      <xdr:row>9</xdr:row>
      <xdr:rowOff>57149</xdr:rowOff>
    </xdr:to>
    <xdr:sp macro="" textlink="">
      <xdr:nvSpPr>
        <xdr:cNvPr id="6" name="Rectangle 5">
          <a:extLst>
            <a:ext uri="{FF2B5EF4-FFF2-40B4-BE49-F238E27FC236}">
              <a16:creationId xmlns:a16="http://schemas.microsoft.com/office/drawing/2014/main" id="{95EF6BE4-99A0-455A-9AAE-1A3ACF0C637F}"/>
            </a:ext>
          </a:extLst>
        </xdr:cNvPr>
        <xdr:cNvSpPr/>
      </xdr:nvSpPr>
      <xdr:spPr>
        <a:xfrm>
          <a:off x="7903266" y="717826"/>
          <a:ext cx="1424333" cy="954432"/>
        </a:xfrm>
        <a:prstGeom prst="rect">
          <a:avLst/>
        </a:prstGeom>
        <a:gradFill>
          <a:gsLst>
            <a:gs pos="0">
              <a:schemeClr val="accent3">
                <a:shade val="51000"/>
                <a:satMod val="130000"/>
              </a:schemeClr>
            </a:gs>
            <a:gs pos="65000">
              <a:schemeClr val="accent3">
                <a:shade val="93000"/>
                <a:satMod val="130000"/>
              </a:schemeClr>
            </a:gs>
            <a:gs pos="100000">
              <a:schemeClr val="accent3">
                <a:shade val="94000"/>
                <a:satMod val="135000"/>
              </a:schemeClr>
            </a:gs>
          </a:gsLst>
          <a:lin ang="16200000" scaled="0"/>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endParaRPr lang="en-IN" sz="1100" b="1">
            <a:solidFill>
              <a:sysClr val="windowText" lastClr="000000"/>
            </a:solidFill>
          </a:endParaRPr>
        </a:p>
        <a:p>
          <a:pPr algn="ctr"/>
          <a:r>
            <a:rPr lang="en-IN" sz="1100" b="1">
              <a:solidFill>
                <a:sysClr val="windowText" lastClr="000000"/>
              </a:solidFill>
            </a:rPr>
            <a:t>AVERAGE SALES</a:t>
          </a:r>
          <a:endParaRPr lang="en-IN" sz="1100" b="0" i="0" u="none" strike="noStrike">
            <a:solidFill>
              <a:schemeClr val="lt1"/>
            </a:solidFill>
            <a:effectLst/>
            <a:latin typeface="+mn-lt"/>
            <a:ea typeface="+mn-ea"/>
            <a:cs typeface="+mn-cs"/>
          </a:endParaRPr>
        </a:p>
        <a:p>
          <a:pPr algn="ctr"/>
          <a:r>
            <a:rPr lang="en-IN" sz="1100" b="0" i="0" u="none" strike="noStrike">
              <a:solidFill>
                <a:schemeClr val="lt1"/>
              </a:solidFill>
              <a:effectLst/>
              <a:latin typeface="+mn-lt"/>
              <a:ea typeface="+mn-ea"/>
              <a:cs typeface="+mn-cs"/>
            </a:rPr>
            <a:t>₹ 29,126.86</a:t>
          </a:r>
          <a:r>
            <a:rPr lang="en-IN">
              <a:effectLst/>
            </a:rPr>
            <a:t> </a:t>
          </a:r>
          <a:endParaRPr lang="en-IN" sz="1100" b="1">
            <a:solidFill>
              <a:sysClr val="windowText" lastClr="000000"/>
            </a:solidFill>
          </a:endParaRPr>
        </a:p>
      </xdr:txBody>
    </xdr:sp>
    <xdr:clientData/>
  </xdr:twoCellAnchor>
  <xdr:twoCellAnchor>
    <xdr:from>
      <xdr:col>8</xdr:col>
      <xdr:colOff>32329</xdr:colOff>
      <xdr:row>24</xdr:row>
      <xdr:rowOff>53037</xdr:rowOff>
    </xdr:from>
    <xdr:to>
      <xdr:col>15</xdr:col>
      <xdr:colOff>303695</xdr:colOff>
      <xdr:row>38</xdr:row>
      <xdr:rowOff>165651</xdr:rowOff>
    </xdr:to>
    <xdr:graphicFrame macro="">
      <xdr:nvGraphicFramePr>
        <xdr:cNvPr id="8" name="Chart 7">
          <a:extLst>
            <a:ext uri="{FF2B5EF4-FFF2-40B4-BE49-F238E27FC236}">
              <a16:creationId xmlns:a16="http://schemas.microsoft.com/office/drawing/2014/main" id="{060A7816-B769-4EE5-A873-C81DA7945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413737</xdr:colOff>
      <xdr:row>39</xdr:row>
      <xdr:rowOff>173660</xdr:rowOff>
    </xdr:from>
    <xdr:to>
      <xdr:col>6</xdr:col>
      <xdr:colOff>599224</xdr:colOff>
      <xdr:row>54</xdr:row>
      <xdr:rowOff>27610</xdr:rowOff>
    </xdr:to>
    <xdr:graphicFrame macro="">
      <xdr:nvGraphicFramePr>
        <xdr:cNvPr id="9" name="Chart 8">
          <a:extLst>
            <a:ext uri="{FF2B5EF4-FFF2-40B4-BE49-F238E27FC236}">
              <a16:creationId xmlns:a16="http://schemas.microsoft.com/office/drawing/2014/main" id="{2AF84182-ED16-4759-88F5-8697CD923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43433</xdr:colOff>
      <xdr:row>40</xdr:row>
      <xdr:rowOff>20037</xdr:rowOff>
    </xdr:from>
    <xdr:to>
      <xdr:col>15</xdr:col>
      <xdr:colOff>284735</xdr:colOff>
      <xdr:row>54</xdr:row>
      <xdr:rowOff>79178</xdr:rowOff>
    </xdr:to>
    <xdr:graphicFrame macro="">
      <xdr:nvGraphicFramePr>
        <xdr:cNvPr id="10" name="Chart 9">
          <a:extLst>
            <a:ext uri="{FF2B5EF4-FFF2-40B4-BE49-F238E27FC236}">
              <a16:creationId xmlns:a16="http://schemas.microsoft.com/office/drawing/2014/main" id="{3B398CA0-DFDC-402A-AB18-7C22B56E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66825</xdr:colOff>
      <xdr:row>56</xdr:row>
      <xdr:rowOff>4330</xdr:rowOff>
    </xdr:from>
    <xdr:to>
      <xdr:col>15</xdr:col>
      <xdr:colOff>317500</xdr:colOff>
      <xdr:row>70</xdr:row>
      <xdr:rowOff>164736</xdr:rowOff>
    </xdr:to>
    <xdr:graphicFrame macro="">
      <xdr:nvGraphicFramePr>
        <xdr:cNvPr id="11" name="Chart 10">
          <a:extLst>
            <a:ext uri="{FF2B5EF4-FFF2-40B4-BE49-F238E27FC236}">
              <a16:creationId xmlns:a16="http://schemas.microsoft.com/office/drawing/2014/main" id="{42F1B5BC-AC0F-44FD-9DAF-28FF224D4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341301</xdr:colOff>
      <xdr:row>72</xdr:row>
      <xdr:rowOff>7076</xdr:rowOff>
    </xdr:from>
    <xdr:to>
      <xdr:col>6</xdr:col>
      <xdr:colOff>571238</xdr:colOff>
      <xdr:row>86</xdr:row>
      <xdr:rowOff>167816</xdr:rowOff>
    </xdr:to>
    <xdr:graphicFrame macro="">
      <xdr:nvGraphicFramePr>
        <xdr:cNvPr id="12" name="Chart 11">
          <a:extLst>
            <a:ext uri="{FF2B5EF4-FFF2-40B4-BE49-F238E27FC236}">
              <a16:creationId xmlns:a16="http://schemas.microsoft.com/office/drawing/2014/main" id="{11D5A3CB-DD45-4217-86DF-6499B54C8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4895</xdr:colOff>
      <xdr:row>72</xdr:row>
      <xdr:rowOff>27610</xdr:rowOff>
    </xdr:from>
    <xdr:to>
      <xdr:col>15</xdr:col>
      <xdr:colOff>331304</xdr:colOff>
      <xdr:row>87</xdr:row>
      <xdr:rowOff>143115</xdr:rowOff>
    </xdr:to>
    <xdr:graphicFrame macro="">
      <xdr:nvGraphicFramePr>
        <xdr:cNvPr id="13" name="Chart 12">
          <a:extLst>
            <a:ext uri="{FF2B5EF4-FFF2-40B4-BE49-F238E27FC236}">
              <a16:creationId xmlns:a16="http://schemas.microsoft.com/office/drawing/2014/main" id="{B232801F-DF39-4590-81CD-9A5777F89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483151</xdr:colOff>
      <xdr:row>56</xdr:row>
      <xdr:rowOff>3632</xdr:rowOff>
    </xdr:from>
    <xdr:to>
      <xdr:col>6</xdr:col>
      <xdr:colOff>578401</xdr:colOff>
      <xdr:row>70</xdr:row>
      <xdr:rowOff>164372</xdr:rowOff>
    </xdr:to>
    <xdr:graphicFrame macro="">
      <xdr:nvGraphicFramePr>
        <xdr:cNvPr id="14" name="Chart 13">
          <a:extLst>
            <a:ext uri="{FF2B5EF4-FFF2-40B4-BE49-F238E27FC236}">
              <a16:creationId xmlns:a16="http://schemas.microsoft.com/office/drawing/2014/main" id="{128DEC21-DD60-45BD-8EE5-B3CAA5168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712856</xdr:colOff>
      <xdr:row>9</xdr:row>
      <xdr:rowOff>82978</xdr:rowOff>
    </xdr:from>
    <xdr:to>
      <xdr:col>3</xdr:col>
      <xdr:colOff>67354</xdr:colOff>
      <xdr:row>23</xdr:row>
      <xdr:rowOff>55344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50E69285-9097-DA8A-8808-AF599A0245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2856" y="1715835"/>
              <a:ext cx="1842661" cy="2512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575837</xdr:colOff>
      <xdr:row>9</xdr:row>
      <xdr:rowOff>104707</xdr:rowOff>
    </xdr:from>
    <xdr:to>
      <xdr:col>6</xdr:col>
      <xdr:colOff>570192</xdr:colOff>
      <xdr:row>23</xdr:row>
      <xdr:rowOff>77073</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F6C2FD3C-A135-5DCD-7008-978D6843B1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64000" y="1737564"/>
              <a:ext cx="1821600" cy="2512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520106</xdr:colOff>
      <xdr:row>10</xdr:row>
      <xdr:rowOff>29337</xdr:rowOff>
    </xdr:from>
    <xdr:to>
      <xdr:col>14</xdr:col>
      <xdr:colOff>514462</xdr:colOff>
      <xdr:row>24</xdr:row>
      <xdr:rowOff>1702</xdr:rowOff>
    </xdr:to>
    <mc:AlternateContent xmlns:mc="http://schemas.openxmlformats.org/markup-compatibility/2006" xmlns:a14="http://schemas.microsoft.com/office/drawing/2010/main">
      <mc:Choice Requires="a14">
        <xdr:graphicFrame macro="">
          <xdr:nvGraphicFramePr>
            <xdr:cNvPr id="21" name="Payment_Method">
              <a:extLst>
                <a:ext uri="{FF2B5EF4-FFF2-40B4-BE49-F238E27FC236}">
                  <a16:creationId xmlns:a16="http://schemas.microsoft.com/office/drawing/2014/main" id="{5014B819-1062-8B49-A6E2-889360DC729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880922" y="1843623"/>
              <a:ext cx="1821601" cy="2512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124239</xdr:colOff>
      <xdr:row>9</xdr:row>
      <xdr:rowOff>151847</xdr:rowOff>
    </xdr:from>
    <xdr:to>
      <xdr:col>11</xdr:col>
      <xdr:colOff>130865</xdr:colOff>
      <xdr:row>23</xdr:row>
      <xdr:rowOff>163581</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65F29B0B-DBC1-4FC4-B12B-8CC709AC694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57810" y="1784704"/>
              <a:ext cx="1833871" cy="2551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289891</xdr:colOff>
      <xdr:row>24</xdr:row>
      <xdr:rowOff>0</xdr:rowOff>
    </xdr:from>
    <xdr:to>
      <xdr:col>6</xdr:col>
      <xdr:colOff>568739</xdr:colOff>
      <xdr:row>39</xdr:row>
      <xdr:rowOff>51353</xdr:rowOff>
    </xdr:to>
    <xdr:graphicFrame macro="">
      <xdr:nvGraphicFramePr>
        <xdr:cNvPr id="16" name="Chart 15">
          <a:extLst>
            <a:ext uri="{FF2B5EF4-FFF2-40B4-BE49-F238E27FC236}">
              <a16:creationId xmlns:a16="http://schemas.microsoft.com/office/drawing/2014/main" id="{69A6A046-AFC1-4DDD-80C7-0688F3365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HI" refreshedDate="46214.741134722222" createdVersion="8" refreshedVersion="8" minRefreshableVersion="3" recordCount="500" xr:uid="{650568A3-44BD-4DFB-9A38-B6FACC229A4A}">
  <cacheSource type="worksheet">
    <worksheetSource name="Table13"/>
  </cacheSource>
  <cacheFields count="25">
    <cacheField name="Order_ID" numFmtId="0">
      <sharedItems/>
    </cacheField>
    <cacheField name="Order_Date" numFmtId="14">
      <sharedItems containsSemiMixedTypes="0" containsNonDate="0" containsDate="1" containsString="0" minDate="2024-01-01T00:00:00" maxDate="2025-06-24T00:00:00" count="320">
        <d v="2025-05-29T00:00:00"/>
        <d v="2025-05-30T00:00:00"/>
        <d v="2025-05-31T00:00:00"/>
        <d v="2025-06-01T00:00:00"/>
        <d v="2025-06-02T00:00:00"/>
        <d v="2025-06-03T00:00:00"/>
        <d v="2025-02-02T00:00:00"/>
        <d v="2024-09-18T00:00:00"/>
        <d v="2025-02-03T00:00:00"/>
        <d v="2024-11-03T00:00:00"/>
        <d v="2024-06-25T00:00:00"/>
        <d v="2025-03-25T00:00:00"/>
        <d v="2024-02-10T00:00:00"/>
        <d v="2025-02-09T00:00:00"/>
        <d v="2024-01-10T00:00:00"/>
        <d v="2024-05-01T00:00:00"/>
        <d v="2025-01-02T00:00:00"/>
        <d v="2024-04-03T00:00:00"/>
        <d v="2024-05-10T00:00:00"/>
        <d v="2024-10-07T00:00:00"/>
        <d v="2024-03-17T00:00:00"/>
        <d v="2024-11-07T00:00:00"/>
        <d v="2024-06-22T00:00:00"/>
        <d v="2025-01-30T00:00:00"/>
        <d v="2024-06-06T00:00:00"/>
        <d v="2024-03-03T00:00:00"/>
        <d v="2024-06-24T00:00:00"/>
        <d v="2025-01-31T00:00:00"/>
        <d v="2024-06-09T00:00:00"/>
        <d v="2025-04-02T00:00:00"/>
        <d v="2025-03-17T00:00:00"/>
        <d v="2025-03-15T00:00:00"/>
        <d v="2024-02-03T00:00:00"/>
        <d v="2024-04-20T00:00:00"/>
        <d v="2024-09-25T00:00:00"/>
        <d v="2025-06-12T00:00:00"/>
        <d v="2025-04-18T00:00:00"/>
        <d v="2025-06-21T00:00:00"/>
        <d v="2024-02-27T00:00:00"/>
        <d v="2024-06-05T00:00:00"/>
        <d v="2024-09-30T00:00:00"/>
        <d v="2024-09-22T00:00:00"/>
        <d v="2024-06-14T00:00:00"/>
        <d v="2024-04-09T00:00:00"/>
        <d v="2025-05-03T00:00:00"/>
        <d v="2024-01-07T00:00:00"/>
        <d v="2024-12-22T00:00:00"/>
        <d v="2024-08-10T00:00:00"/>
        <d v="2025-01-08T00:00:00"/>
        <d v="2024-02-15T00:00:00"/>
        <d v="2024-01-19T00:00:00"/>
        <d v="2024-02-16T00:00:00"/>
        <d v="2024-05-11T00:00:00"/>
        <d v="2025-03-06T00:00:00"/>
        <d v="2025-02-10T00:00:00"/>
        <d v="2025-03-26T00:00:00"/>
        <d v="2025-04-06T00:00:00"/>
        <d v="2025-04-03T00:00:00"/>
        <d v="2024-08-23T00:00:00"/>
        <d v="2024-03-25T00:00:00"/>
        <d v="2024-12-30T00:00:00"/>
        <d v="2024-07-09T00:00:00"/>
        <d v="2024-09-23T00:00:00"/>
        <d v="2024-06-15T00:00:00"/>
        <d v="2024-09-29T00:00:00"/>
        <d v="2025-05-08T00:00:00"/>
        <d v="2025-02-01T00:00:00"/>
        <d v="2024-12-12T00:00:00"/>
        <d v="2025-01-03T00:00:00"/>
        <d v="2024-05-20T00:00:00"/>
        <d v="2024-11-05T00:00:00"/>
        <d v="2025-02-27T00:00:00"/>
        <d v="2024-04-21T00:00:00"/>
        <d v="2024-03-23T00:00:00"/>
        <d v="2025-04-11T00:00:00"/>
        <d v="2024-01-05T00:00:00"/>
        <d v="2024-09-04T00:00:00"/>
        <d v="2025-04-15T00:00:00"/>
        <d v="2025-01-27T00:00:00"/>
        <d v="2025-06-18T00:00:00"/>
        <d v="2025-03-13T00:00:00"/>
        <d v="2024-08-06T00:00:00"/>
        <d v="2025-04-01T00:00:00"/>
        <d v="2024-10-24T00:00:00"/>
        <d v="2024-07-04T00:00:00"/>
        <d v="2024-12-28T00:00:00"/>
        <d v="2024-07-22T00:00:00"/>
        <d v="2025-05-27T00:00:00"/>
        <d v="2025-04-05T00:00:00"/>
        <d v="2024-01-12T00:00:00"/>
        <d v="2024-07-07T00:00:00"/>
        <d v="2025-01-06T00:00:00"/>
        <d v="2025-02-18T00:00:00"/>
        <d v="2024-06-20T00:00:00"/>
        <d v="2024-07-05T00:00:00"/>
        <d v="2025-06-05T00:00:00"/>
        <d v="2024-01-25T00:00:00"/>
        <d v="2024-06-11T00:00:00"/>
        <d v="2024-03-15T00:00:00"/>
        <d v="2024-05-04T00:00:00"/>
        <d v="2024-12-21T00:00:00"/>
        <d v="2024-11-21T00:00:00"/>
        <d v="2024-04-25T00:00:00"/>
        <d v="2025-04-10T00:00:00"/>
        <d v="2024-10-17T00:00:00"/>
        <d v="2024-09-02T00:00:00"/>
        <d v="2025-01-04T00:00:00"/>
        <d v="2025-01-07T00:00:00"/>
        <d v="2024-10-22T00:00:00"/>
        <d v="2024-04-29T00:00:00"/>
        <d v="2025-01-10T00:00:00"/>
        <d v="2024-01-27T00:00:00"/>
        <d v="2025-03-18T00:00:00"/>
        <d v="2024-03-04T00:00:00"/>
        <d v="2024-11-04T00:00:00"/>
        <d v="2024-07-25T00:00:00"/>
        <d v="2025-04-22T00:00:00"/>
        <d v="2024-10-06T00:00:00"/>
        <d v="2025-01-24T00:00:00"/>
        <d v="2025-04-27T00:00:00"/>
        <d v="2024-06-21T00:00:00"/>
        <d v="2025-05-23T00:00:00"/>
        <d v="2024-12-18T00:00:00"/>
        <d v="2024-10-04T00:00:00"/>
        <d v="2024-09-28T00:00:00"/>
        <d v="2024-11-01T00:00:00"/>
        <d v="2024-10-20T00:00:00"/>
        <d v="2025-03-22T00:00:00"/>
        <d v="2025-02-08T00:00:00"/>
        <d v="2025-05-16T00:00:00"/>
        <d v="2024-03-27T00:00:00"/>
        <d v="2025-03-12T00:00:00"/>
        <d v="2025-06-19T00:00:00"/>
        <d v="2024-03-20T00:00:00"/>
        <d v="2024-01-21T00:00:00"/>
        <d v="2024-08-02T00:00:00"/>
        <d v="2025-01-29T00:00:00"/>
        <d v="2024-11-12T00:00:00"/>
        <d v="2024-07-29T00:00:00"/>
        <d v="2024-02-12T00:00:00"/>
        <d v="2025-03-31T00:00:00"/>
        <d v="2024-02-29T00:00:00"/>
        <d v="2024-04-12T00:00:00"/>
        <d v="2025-01-15T00:00:00"/>
        <d v="2024-03-06T00:00:00"/>
        <d v="2024-10-19T00:00:00"/>
        <d v="2025-05-07T00:00:00"/>
        <d v="2024-09-15T00:00:00"/>
        <d v="2025-01-14T00:00:00"/>
        <d v="2025-05-18T00:00:00"/>
        <d v="2024-12-26T00:00:00"/>
        <d v="2024-07-02T00:00:00"/>
        <d v="2024-06-02T00:00:00"/>
        <d v="2025-06-20T00:00:00"/>
        <d v="2025-03-16T00:00:00"/>
        <d v="2025-05-15T00:00:00"/>
        <d v="2025-03-07T00:00:00"/>
        <d v="2024-03-05T00:00:00"/>
        <d v="2024-03-08T00:00:00"/>
        <d v="2024-12-15T00:00:00"/>
        <d v="2024-11-16T00:00:00"/>
        <d v="2024-03-11T00:00:00"/>
        <d v="2024-12-07T00:00:00"/>
        <d v="2024-10-02T00:00:00"/>
        <d v="2024-08-16T00:00:00"/>
        <d v="2024-05-03T00:00:00"/>
        <d v="2025-04-14T00:00:00"/>
        <d v="2024-06-17T00:00:00"/>
        <d v="2024-07-24T00:00:00"/>
        <d v="2024-11-08T00:00:00"/>
        <d v="2025-05-28T00:00:00"/>
        <d v="2024-05-12T00:00:00"/>
        <d v="2024-08-04T00:00:00"/>
        <d v="2024-01-15T00:00:00"/>
        <d v="2024-05-18T00:00:00"/>
        <d v="2024-10-28T00:00:00"/>
        <d v="2024-01-20T00:00:00"/>
        <d v="2024-09-21T00:00:00"/>
        <d v="2024-02-04T00:00:00"/>
        <d v="2024-08-20T00:00:00"/>
        <d v="2024-05-02T00:00:00"/>
        <d v="2024-02-06T00:00:00"/>
        <d v="2024-01-08T00:00:00"/>
        <d v="2024-12-20T00:00:00"/>
        <d v="2025-06-23T00:00:00"/>
        <d v="2024-09-17T00:00:00"/>
        <d v="2024-08-25T00:00:00"/>
        <d v="2024-01-30T00:00:00"/>
        <d v="2025-04-04T00:00:00"/>
        <d v="2024-01-01T00:00:00"/>
        <d v="2024-02-14T00:00:00"/>
        <d v="2024-08-07T00:00:00"/>
        <d v="2024-07-03T00:00:00"/>
        <d v="2024-05-17T00:00:00"/>
        <d v="2024-01-31T00:00:00"/>
        <d v="2024-02-05T00:00:00"/>
        <d v="2024-03-18T00:00:00"/>
        <d v="2024-08-01T00:00:00"/>
        <d v="2024-07-15T00:00:00"/>
        <d v="2025-04-09T00:00:00"/>
        <d v="2024-06-23T00:00:00"/>
        <d v="2024-10-14T00:00:00"/>
        <d v="2024-05-23T00:00:00"/>
        <d v="2025-01-13T00:00:00"/>
        <d v="2024-10-26T00:00:00"/>
        <d v="2025-01-19T00:00:00"/>
        <d v="2024-12-25T00:00:00"/>
        <d v="2024-06-08T00:00:00"/>
        <d v="2024-01-09T00:00:00"/>
        <d v="2024-01-29T00:00:00"/>
        <d v="2024-04-13T00:00:00"/>
        <d v="2025-03-05T00:00:00"/>
        <d v="2025-01-01T00:00:00"/>
        <d v="2024-09-19T00:00:00"/>
        <d v="2024-02-11T00:00:00"/>
        <d v="2024-12-27T00:00:00"/>
        <d v="2024-04-08T00:00:00"/>
        <d v="2024-12-29T00:00:00"/>
        <d v="2025-05-21T00:00:00"/>
        <d v="2025-02-14T00:00:00"/>
        <d v="2024-12-04T00:00:00"/>
        <d v="2025-06-10T00:00:00"/>
        <d v="2025-03-19T00:00:00"/>
        <d v="2024-05-14T00:00:00"/>
        <d v="2025-02-26T00:00:00"/>
        <d v="2025-05-22T00:00:00"/>
        <d v="2025-03-04T00:00:00"/>
        <d v="2024-06-19T00:00:00"/>
        <d v="2024-12-13T00:00:00"/>
        <d v="2024-04-11T00:00:00"/>
        <d v="2024-11-02T00:00:00"/>
        <d v="2024-03-02T00:00:00"/>
        <d v="2024-07-06T00:00:00"/>
        <d v="2024-05-05T00:00:00"/>
        <d v="2025-01-26T00:00:00"/>
        <d v="2024-08-17T00:00:00"/>
        <d v="2024-07-08T00:00:00"/>
        <d v="2024-04-27T00:00:00"/>
        <d v="2024-02-08T00:00:00"/>
        <d v="2024-09-20T00:00:00"/>
        <d v="2025-03-27T00:00:00"/>
        <d v="2025-04-08T00:00:00"/>
        <d v="2024-02-17T00:00:00"/>
        <d v="2025-04-20T00:00:00"/>
        <d v="2025-02-13T00:00:00"/>
        <d v="2025-03-03T00:00:00"/>
        <d v="2024-12-10T00:00:00"/>
        <d v="2024-06-30T00:00:00"/>
        <d v="2025-05-14T00:00:00"/>
        <d v="2024-03-16T00:00:00"/>
        <d v="2025-06-13T00:00:00"/>
        <d v="2024-12-03T00:00:00"/>
        <d v="2024-09-26T00:00:00"/>
        <d v="2024-06-16T00:00:00"/>
        <d v="2024-05-31T00:00:00"/>
        <d v="2024-08-09T00:00:00"/>
        <d v="2025-03-28T00:00:00"/>
        <d v="2024-04-15T00:00:00"/>
        <d v="2024-04-10T00:00:00"/>
        <d v="2024-11-17T00:00:00"/>
        <d v="2024-08-11T00:00:00"/>
        <d v="2024-09-27T00:00:00"/>
        <d v="2025-06-15T00:00:00"/>
        <d v="2025-05-25T00:00:00"/>
        <d v="2024-01-03T00:00:00"/>
        <d v="2025-01-28T00:00:00"/>
        <d v="2024-02-07T00:00:00"/>
        <d v="2024-03-24T00:00:00"/>
        <d v="2024-05-29T00:00:00"/>
        <d v="2024-04-19T00:00:00"/>
        <d v="2025-01-23T00:00:00"/>
        <d v="2024-08-21T00:00:00"/>
        <d v="2024-10-11T00:00:00"/>
        <d v="2025-03-23T00:00:00"/>
        <d v="2025-04-07T00:00:00"/>
        <d v="2024-08-24T00:00:00"/>
        <d v="2024-10-27T00:00:00"/>
        <d v="2024-03-01T00:00:00"/>
        <d v="2025-02-06T00:00:00"/>
        <d v="2024-08-18T00:00:00"/>
        <d v="2024-04-18T00:00:00"/>
        <d v="2025-03-21T00:00:00"/>
        <d v="2024-02-21T00:00:00"/>
        <d v="2024-11-30T00:00:00"/>
        <d v="2024-03-28T00:00:00"/>
        <d v="2024-11-20T00:00:00"/>
        <d v="2024-12-02T00:00:00"/>
        <d v="2025-05-11T00:00:00"/>
        <d v="2025-04-25T00:00:00"/>
        <d v="2025-02-15T00:00:00"/>
        <d v="2025-04-28T00:00:00"/>
        <d v="2025-02-21T00:00:00"/>
        <d v="2024-08-30T00:00:00"/>
        <d v="2025-02-23T00:00:00"/>
        <d v="2024-10-16T00:00:00"/>
        <d v="2025-06-17T00:00:00"/>
        <d v="2025-04-17T00:00:00"/>
        <d v="2024-09-24T00:00:00"/>
        <d v="2024-05-24T00:00:00"/>
        <d v="2024-09-13T00:00:00"/>
        <d v="2025-01-21T00:00:00"/>
        <d v="2024-12-24T00:00:00"/>
        <d v="2024-11-15T00:00:00"/>
        <d v="2024-10-25T00:00:00"/>
        <d v="2024-11-11T00:00:00"/>
        <d v="2025-02-16T00:00:00"/>
        <d v="2024-11-06T00:00:00"/>
        <d v="2024-10-23T00:00:00"/>
        <d v="2024-03-29T00:00:00"/>
        <d v="2024-11-27T00:00:00"/>
        <d v="2024-11-10T00:00:00"/>
        <d v="2024-02-18T00:00:00"/>
        <d v="2024-08-26T00:00:00"/>
        <d v="2024-07-19T00:00:00"/>
        <d v="2024-06-01T00:00:00"/>
        <d v="2025-05-12T00:00:00"/>
        <d v="2025-01-09T00:00:00"/>
        <d v="2024-05-08T00:00:00"/>
        <d v="2024-10-30T00:00:00"/>
        <d v="2025-06-04T00:00:00"/>
      </sharedItems>
      <fieldGroup par="24"/>
    </cacheField>
    <cacheField name="Year" numFmtId="14">
      <sharedItems count="2">
        <s v="2025"/>
        <s v="2024"/>
      </sharedItems>
    </cacheField>
    <cacheField name="Month" numFmtId="14">
      <sharedItems count="12">
        <s v="May"/>
        <s v="June"/>
        <s v="February"/>
        <s v="September"/>
        <s v="November"/>
        <s v="March"/>
        <s v="January"/>
        <s v="April"/>
        <s v="October"/>
        <s v="December"/>
        <s v="August"/>
        <s v="July"/>
      </sharedItems>
    </cacheField>
    <cacheField name="Customer_ID" numFmtId="0">
      <sharedItems/>
    </cacheField>
    <cacheField name="Customer_Name" numFmtId="0">
      <sharedItems count="167">
        <s v="Customer_87"/>
        <s v="Customer_15"/>
        <s v="Customer_69"/>
        <s v="Customer_143"/>
        <s v="Customer_101"/>
        <s v="Customer_167"/>
        <s v="Customer_53"/>
        <s v="Customer_115"/>
        <s v="Customer_77"/>
        <s v="Customer_149"/>
        <s v="Customer_60"/>
        <s v="Customer_132"/>
        <s v="Customer_139"/>
        <s v="Customer_94"/>
        <s v="Customer_54"/>
        <s v="Customer_131"/>
        <s v="Customer_111"/>
        <s v="Customer_119"/>
        <s v="Customer_175"/>
        <s v="Customer_104"/>
        <s v="Customer_173"/>
        <s v="Customer_12"/>
        <s v="Customer_39"/>
        <s v="Customer_27"/>
        <s v="Customer_110"/>
        <s v="Customer_56"/>
        <s v="Customer_2"/>
        <s v="Customer_68"/>
        <s v="Customer_180"/>
        <s v="Customer_75"/>
        <s v="Customer_72"/>
        <s v="Customer_161"/>
        <s v="Customer_123"/>
        <s v="Customer_106"/>
        <s v="Customer_30"/>
        <s v="Customer_179"/>
        <s v="Customer_67"/>
        <s v="Customer_55"/>
        <s v="Customer_7"/>
        <s v="Customer_23"/>
        <s v="Customer_58"/>
        <s v="Customer_29"/>
        <s v="Customer_156"/>
        <s v="Customer_1"/>
        <s v="Customer_76"/>
        <s v="Customer_65"/>
        <s v="Customer_63"/>
        <s v="Customer_83"/>
        <s v="Customer_47"/>
        <s v="Customer_100"/>
        <s v="Customer_151"/>
        <s v="Customer_158"/>
        <s v="Customer_82"/>
        <s v="Customer_118"/>
        <s v="Customer_74"/>
        <s v="Customer_133"/>
        <s v="Customer_71"/>
        <s v="Customer_176"/>
        <s v="Customer_112"/>
        <s v="Customer_41"/>
        <s v="Customer_16"/>
        <s v="Customer_116"/>
        <s v="Customer_81"/>
        <s v="Customer_19"/>
        <s v="Customer_9"/>
        <s v="Customer_147"/>
        <s v="Customer_122"/>
        <s v="Customer_4"/>
        <s v="Customer_88"/>
        <s v="Customer_33"/>
        <s v="Customer_159"/>
        <s v="Customer_128"/>
        <s v="Customer_154"/>
        <s v="Customer_89"/>
        <s v="Customer_168"/>
        <s v="Customer_70"/>
        <s v="Customer_145"/>
        <s v="Customer_127"/>
        <s v="Customer_61"/>
        <s v="Customer_46"/>
        <s v="Customer_107"/>
        <s v="Customer_129"/>
        <s v="Customer_26"/>
        <s v="Customer_169"/>
        <s v="Customer_91"/>
        <s v="Customer_8"/>
        <s v="Customer_48"/>
        <s v="Customer_80"/>
        <s v="Customer_136"/>
        <s v="Customer_157"/>
        <s v="Customer_105"/>
        <s v="Customer_44"/>
        <s v="Customer_24"/>
        <s v="Customer_21"/>
        <s v="Customer_163"/>
        <s v="Customer_86"/>
        <s v="Customer_34"/>
        <s v="Customer_148"/>
        <s v="Customer_84"/>
        <s v="Customer_172"/>
        <s v="Customer_125"/>
        <s v="Customer_99"/>
        <s v="Customer_162"/>
        <s v="Customer_13"/>
        <s v="Customer_64"/>
        <s v="Customer_31"/>
        <s v="Customer_98"/>
        <s v="Customer_130"/>
        <s v="Customer_62"/>
        <s v="Customer_40"/>
        <s v="Customer_6"/>
        <s v="Customer_153"/>
        <s v="Customer_137"/>
        <s v="Customer_152"/>
        <s v="Customer_165"/>
        <s v="Customer_45"/>
        <s v="Customer_32"/>
        <s v="Customer_109"/>
        <s v="Customer_3"/>
        <s v="Customer_114"/>
        <s v="Customer_108"/>
        <s v="Customer_141"/>
        <s v="Customer_171"/>
        <s v="Customer_52"/>
        <s v="Customer_103"/>
        <s v="Customer_97"/>
        <s v="Customer_177"/>
        <s v="Customer_25"/>
        <s v="Customer_49"/>
        <s v="Customer_160"/>
        <s v="Customer_10"/>
        <s v="Customer_95"/>
        <s v="Customer_144"/>
        <s v="Customer_113"/>
        <s v="Customer_50"/>
        <s v="Customer_124"/>
        <s v="Customer_66"/>
        <s v="Customer_164"/>
        <s v="Customer_14"/>
        <s v="Customer_59"/>
        <s v="Customer_150"/>
        <s v="Customer_92"/>
        <s v="Customer_57"/>
        <s v="Customer_79"/>
        <s v="Customer_135"/>
        <s v="Customer_43"/>
        <s v="Customer_51"/>
        <s v="Customer_134"/>
        <s v="Customer_85"/>
        <s v="Customer_121"/>
        <s v="Customer_140"/>
        <s v="Customer_138"/>
        <s v="Customer_22"/>
        <s v="Customer_38"/>
        <s v="Customer_5"/>
        <s v="Customer_73"/>
        <s v="Customer_90"/>
        <s v="Customer_166"/>
        <s v="Customer_142"/>
        <s v="Customer_178"/>
        <s v="Customer_174"/>
        <s v="Customer_146"/>
        <s v="Customer_120"/>
        <s v="Customer_36"/>
        <s v="Customer_126"/>
        <s v="Customer_20"/>
        <s v="Customer_93"/>
      </sharedItems>
    </cacheField>
    <cacheField name="Gender" numFmtId="0">
      <sharedItems/>
    </cacheField>
    <cacheField name="Age" numFmtId="0">
      <sharedItems containsSemiMixedTypes="0" containsString="0" containsNumber="1" containsInteger="1" minValue="20" maxValue="60"/>
    </cacheField>
    <cacheField name="City" numFmtId="0">
      <sharedItems/>
    </cacheField>
    <cacheField name="State" numFmtId="0">
      <sharedItems/>
    </cacheField>
    <cacheField name="Region" numFmtId="0">
      <sharedItems count="4">
        <s v="West"/>
        <s v="North"/>
        <s v="South"/>
        <s v="East"/>
      </sharedItems>
    </cacheField>
    <cacheField name="Category" numFmtId="0">
      <sharedItems count="4">
        <s v="Electronics"/>
        <s v="Office Supplies"/>
        <s v="Clothing"/>
        <s v="Furniture"/>
      </sharedItems>
    </cacheField>
    <cacheField name="Sub_Category" numFmtId="0">
      <sharedItems/>
    </cacheField>
    <cacheField name="Product_Name" numFmtId="0">
      <sharedItems count="13">
        <s v="Monitor"/>
        <s v="Headphones"/>
        <s v="Notebook"/>
        <s v="Smartphone"/>
        <s v="Jeans"/>
        <s v="Desk"/>
        <s v="Jacket"/>
        <s v="Pen Pack"/>
        <s v="Office Chair"/>
        <s v="Laptop"/>
        <s v="T-Shirt"/>
        <s v="Printer Paper"/>
        <s v="Bookshelf"/>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20" maxValue="65000"/>
    </cacheField>
    <cacheField name="Discount" numFmtId="0">
      <sharedItems containsSemiMixedTypes="0" containsString="0" containsNumber="1" containsInteger="1" minValue="0" maxValue="20"/>
    </cacheField>
    <cacheField name="Sales" numFmtId="0">
      <sharedItems containsSemiMixedTypes="0" containsString="0" containsNumber="1" minValue="102" maxValue="325000"/>
    </cacheField>
    <cacheField name="Profit" numFmtId="0">
      <sharedItems containsSemiMixedTypes="0" containsString="0" containsNumber="1" minValue="12.7" maxValue="87918.04"/>
    </cacheField>
    <cacheField name="Payment_Method" numFmtId="0">
      <sharedItems count="5">
        <s v="Cash"/>
        <s v="Credit Card"/>
        <s v="Debit Card"/>
        <s v="Net Banking"/>
        <s v="UPI"/>
      </sharedItems>
    </cacheField>
    <cacheField name="Order_Status" numFmtId="0">
      <sharedItems/>
    </cacheField>
    <cacheField name="Salesperson" numFmtId="0">
      <sharedItems count="6">
        <s v="Priya"/>
        <s v="Rahul"/>
        <s v="Sneha"/>
        <s v="Kiran"/>
        <s v="Anjali"/>
        <s v="Amit"/>
      </sharedItems>
    </cacheField>
    <cacheField name="Months (Order_Date)" numFmtId="0" databaseField="0">
      <fieldGroup base="1">
        <rangePr groupBy="months" startDate="2024-01-01T00:00:00" endDate="2025-06-24T00:00:00"/>
        <groupItems count="14">
          <s v="&lt;01-01-2024"/>
          <s v="Jan"/>
          <s v="Feb"/>
          <s v="Mar"/>
          <s v="Apr"/>
          <s v="May"/>
          <s v="Jun"/>
          <s v="Jul"/>
          <s v="Aug"/>
          <s v="Sep"/>
          <s v="Oct"/>
          <s v="Nov"/>
          <s v="Dec"/>
          <s v="&gt;24-06-2025"/>
        </groupItems>
      </fieldGroup>
    </cacheField>
    <cacheField name="Quarters (Order_Date)" numFmtId="0" databaseField="0">
      <fieldGroup base="1">
        <rangePr groupBy="quarters" startDate="2024-01-01T00:00:00" endDate="2025-06-24T00:00:00"/>
        <groupItems count="6">
          <s v="&lt;01-01-2024"/>
          <s v="Qtr1"/>
          <s v="Qtr2"/>
          <s v="Qtr3"/>
          <s v="Qtr4"/>
          <s v="&gt;24-06-2025"/>
        </groupItems>
      </fieldGroup>
    </cacheField>
    <cacheField name="Years (Order_Date)" numFmtId="0" databaseField="0">
      <fieldGroup base="1">
        <rangePr groupBy="years" startDate="2024-01-01T00:00:00" endDate="2025-06-24T00:00:00"/>
        <groupItems count="4">
          <s v="&lt;01-01-2024"/>
          <s v="2024"/>
          <s v="2025"/>
          <s v="&gt;24-06-2025"/>
        </groupItems>
      </fieldGroup>
    </cacheField>
  </cacheFields>
  <extLst>
    <ext xmlns:x14="http://schemas.microsoft.com/office/spreadsheetml/2009/9/main" uri="{725AE2AE-9491-48be-B2B4-4EB974FC3084}">
      <x14:pivotCacheDefinition pivotCacheId="2052538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2"/>
    <x v="0"/>
    <x v="0"/>
    <x v="0"/>
    <s v="CUST1037"/>
    <x v="0"/>
    <s v="Female"/>
    <n v="50"/>
    <s v="Mumbai"/>
    <s v="Maharashtra"/>
    <x v="0"/>
    <x v="0"/>
    <s v="Gadgets"/>
    <x v="0"/>
    <n v="4"/>
    <n v="12000"/>
    <n v="0"/>
    <n v="48000"/>
    <n v="9953.11"/>
    <x v="0"/>
    <s v="Cancelled"/>
    <x v="0"/>
  </r>
  <r>
    <s v="ORD10003"/>
    <x v="1"/>
    <x v="0"/>
    <x v="0"/>
    <s v="CUST1076"/>
    <x v="1"/>
    <s v="Male"/>
    <n v="48"/>
    <s v="Ahmedabad"/>
    <s v="Gujarat"/>
    <x v="0"/>
    <x v="0"/>
    <s v="Gadgets"/>
    <x v="1"/>
    <n v="4"/>
    <n v="2500"/>
    <n v="0"/>
    <n v="10000"/>
    <n v="2319.7600000000002"/>
    <x v="1"/>
    <s v="Cancelled"/>
    <x v="0"/>
  </r>
  <r>
    <s v="ORD10004"/>
    <x v="2"/>
    <x v="0"/>
    <x v="0"/>
    <s v="CUST1097"/>
    <x v="2"/>
    <s v="Male"/>
    <n v="32"/>
    <s v="Pune"/>
    <s v="Maharashtra"/>
    <x v="0"/>
    <x v="1"/>
    <s v="Stationery"/>
    <x v="2"/>
    <n v="3"/>
    <n v="150"/>
    <n v="0"/>
    <n v="450"/>
    <n v="96"/>
    <x v="2"/>
    <s v="Completed"/>
    <x v="1"/>
  </r>
  <r>
    <s v="ORD10005"/>
    <x v="3"/>
    <x v="0"/>
    <x v="1"/>
    <s v="CUST1022"/>
    <x v="3"/>
    <s v="Male"/>
    <n v="53"/>
    <s v="Delhi"/>
    <s v="Delhi"/>
    <x v="1"/>
    <x v="0"/>
    <s v="Gadgets"/>
    <x v="0"/>
    <n v="1"/>
    <n v="12000"/>
    <n v="10"/>
    <n v="10800"/>
    <n v="2357.61"/>
    <x v="3"/>
    <s v="Cancelled"/>
    <x v="2"/>
  </r>
  <r>
    <s v="ORD10006"/>
    <x v="4"/>
    <x v="0"/>
    <x v="1"/>
    <s v="CUST1132"/>
    <x v="4"/>
    <s v="Male"/>
    <n v="40"/>
    <s v="Delhi"/>
    <s v="Delhi"/>
    <x v="1"/>
    <x v="1"/>
    <s v="Stationery"/>
    <x v="2"/>
    <n v="3"/>
    <n v="150"/>
    <n v="10"/>
    <n v="405"/>
    <n v="66.099999999999994"/>
    <x v="2"/>
    <s v="Completed"/>
    <x v="3"/>
  </r>
  <r>
    <s v="ORD10007"/>
    <x v="5"/>
    <x v="0"/>
    <x v="1"/>
    <s v="CUST1075"/>
    <x v="5"/>
    <s v="Male"/>
    <n v="51"/>
    <s v="Ahmedabad"/>
    <s v="Gujarat"/>
    <x v="0"/>
    <x v="0"/>
    <s v="Gadgets"/>
    <x v="1"/>
    <n v="2"/>
    <n v="2500"/>
    <n v="5"/>
    <n v="4750"/>
    <n v="604.80999999999995"/>
    <x v="3"/>
    <s v="Completed"/>
    <x v="3"/>
  </r>
  <r>
    <s v="ORD10008"/>
    <x v="6"/>
    <x v="0"/>
    <x v="2"/>
    <s v="CUST1132"/>
    <x v="6"/>
    <s v="Female"/>
    <n v="20"/>
    <s v="Mumbai"/>
    <s v="Maharashtra"/>
    <x v="0"/>
    <x v="0"/>
    <s v="Gadgets"/>
    <x v="3"/>
    <n v="1"/>
    <n v="25000"/>
    <n v="0"/>
    <n v="25000"/>
    <n v="5881.37"/>
    <x v="3"/>
    <s v="Cancelled"/>
    <x v="1"/>
  </r>
  <r>
    <s v="ORD10009"/>
    <x v="7"/>
    <x v="1"/>
    <x v="3"/>
    <s v="CUST1023"/>
    <x v="7"/>
    <s v="Male"/>
    <n v="34"/>
    <s v="Pune"/>
    <s v="Maharashtra"/>
    <x v="0"/>
    <x v="2"/>
    <s v="Apparel"/>
    <x v="4"/>
    <n v="2"/>
    <n v="1800"/>
    <n v="5"/>
    <n v="3420"/>
    <n v="485.27"/>
    <x v="4"/>
    <s v="Cancelled"/>
    <x v="2"/>
  </r>
  <r>
    <s v="ORD10010"/>
    <x v="8"/>
    <x v="0"/>
    <x v="2"/>
    <s v="CUST1008"/>
    <x v="8"/>
    <s v="Male"/>
    <n v="30"/>
    <s v="Bengaluru"/>
    <s v="Karnataka"/>
    <x v="2"/>
    <x v="3"/>
    <s v="Home"/>
    <x v="5"/>
    <n v="4"/>
    <n v="9000"/>
    <n v="0"/>
    <n v="36000"/>
    <n v="5033.87"/>
    <x v="2"/>
    <s v="Pending"/>
    <x v="4"/>
  </r>
  <r>
    <s v="ORD10011"/>
    <x v="9"/>
    <x v="1"/>
    <x v="4"/>
    <s v="CUST1016"/>
    <x v="9"/>
    <s v="Male"/>
    <n v="36"/>
    <s v="Kolkata"/>
    <s v="West Bengal"/>
    <x v="3"/>
    <x v="2"/>
    <s v="Apparel"/>
    <x v="6"/>
    <n v="5"/>
    <n v="3500"/>
    <n v="15"/>
    <n v="14875"/>
    <n v="3672.85"/>
    <x v="0"/>
    <s v="Completed"/>
    <x v="0"/>
  </r>
  <r>
    <s v="ORD10012"/>
    <x v="10"/>
    <x v="1"/>
    <x v="1"/>
    <s v="CUST1120"/>
    <x v="10"/>
    <s v="Female"/>
    <n v="54"/>
    <s v="Delhi"/>
    <s v="Delhi"/>
    <x v="1"/>
    <x v="0"/>
    <s v="Gadgets"/>
    <x v="3"/>
    <n v="3"/>
    <n v="25000"/>
    <n v="15"/>
    <n v="63750"/>
    <n v="8034.11"/>
    <x v="2"/>
    <s v="Completed"/>
    <x v="2"/>
  </r>
  <r>
    <s v="ORD10013"/>
    <x v="11"/>
    <x v="0"/>
    <x v="5"/>
    <s v="CUST1101"/>
    <x v="11"/>
    <s v="Male"/>
    <n v="37"/>
    <s v="Bengaluru"/>
    <s v="Karnataka"/>
    <x v="2"/>
    <x v="2"/>
    <s v="Apparel"/>
    <x v="4"/>
    <n v="3"/>
    <n v="1800"/>
    <n v="0"/>
    <n v="5400"/>
    <n v="466.56"/>
    <x v="2"/>
    <s v="Completed"/>
    <x v="1"/>
  </r>
  <r>
    <s v="ORD10014"/>
    <x v="0"/>
    <x v="0"/>
    <x v="0"/>
    <s v="CUST1056"/>
    <x v="12"/>
    <s v="Male"/>
    <n v="29"/>
    <s v="Chennai"/>
    <s v="Tamil Nadu"/>
    <x v="2"/>
    <x v="1"/>
    <s v="Stationery"/>
    <x v="7"/>
    <n v="5"/>
    <n v="120"/>
    <n v="0"/>
    <n v="600"/>
    <n v="110.01"/>
    <x v="1"/>
    <s v="Pending"/>
    <x v="5"/>
  </r>
  <r>
    <s v="ORD10015"/>
    <x v="12"/>
    <x v="1"/>
    <x v="2"/>
    <s v="CUST1129"/>
    <x v="13"/>
    <s v="Female"/>
    <n v="40"/>
    <s v="Mumbai"/>
    <s v="Maharashtra"/>
    <x v="0"/>
    <x v="1"/>
    <s v="Stationery"/>
    <x v="7"/>
    <n v="3"/>
    <n v="120"/>
    <n v="20"/>
    <n v="288"/>
    <n v="24.17"/>
    <x v="4"/>
    <s v="Cancelled"/>
    <x v="1"/>
  </r>
  <r>
    <s v="ORD10016"/>
    <x v="13"/>
    <x v="0"/>
    <x v="2"/>
    <s v="CUST1060"/>
    <x v="14"/>
    <s v="Male"/>
    <n v="42"/>
    <s v="Hyderabad"/>
    <s v="Telangana"/>
    <x v="2"/>
    <x v="3"/>
    <s v="Home"/>
    <x v="8"/>
    <n v="2"/>
    <n v="7000"/>
    <n v="5"/>
    <n v="13300"/>
    <n v="3244.33"/>
    <x v="1"/>
    <s v="Completed"/>
    <x v="2"/>
  </r>
  <r>
    <s v="ORD10017"/>
    <x v="14"/>
    <x v="1"/>
    <x v="6"/>
    <s v="CUST1121"/>
    <x v="15"/>
    <s v="Male"/>
    <n v="47"/>
    <s v="Mumbai"/>
    <s v="Maharashtra"/>
    <x v="0"/>
    <x v="3"/>
    <s v="Home"/>
    <x v="8"/>
    <n v="3"/>
    <n v="7000"/>
    <n v="15"/>
    <n v="17850"/>
    <n v="1774.59"/>
    <x v="2"/>
    <s v="Completed"/>
    <x v="3"/>
  </r>
  <r>
    <s v="ORD10018"/>
    <x v="15"/>
    <x v="1"/>
    <x v="0"/>
    <s v="CUST1070"/>
    <x v="16"/>
    <s v="Female"/>
    <n v="29"/>
    <s v="Delhi"/>
    <s v="Delhi"/>
    <x v="1"/>
    <x v="0"/>
    <s v="Gadgets"/>
    <x v="0"/>
    <n v="3"/>
    <n v="12000"/>
    <n v="10"/>
    <n v="32400"/>
    <n v="8425.4699999999993"/>
    <x v="1"/>
    <s v="Pending"/>
    <x v="2"/>
  </r>
  <r>
    <s v="ORD10019"/>
    <x v="16"/>
    <x v="0"/>
    <x v="6"/>
    <s v="CUST1110"/>
    <x v="3"/>
    <s v="Female"/>
    <n v="48"/>
    <s v="Mumbai"/>
    <s v="Maharashtra"/>
    <x v="0"/>
    <x v="0"/>
    <s v="Gadgets"/>
    <x v="9"/>
    <n v="5"/>
    <n v="65000"/>
    <n v="20"/>
    <n v="260000"/>
    <n v="34866.49"/>
    <x v="1"/>
    <s v="Pending"/>
    <x v="4"/>
  </r>
  <r>
    <s v="ORD10020"/>
    <x v="17"/>
    <x v="1"/>
    <x v="7"/>
    <s v="CUST1118"/>
    <x v="4"/>
    <s v="Female"/>
    <n v="30"/>
    <s v="Mumbai"/>
    <s v="Maharashtra"/>
    <x v="0"/>
    <x v="0"/>
    <s v="Gadgets"/>
    <x v="0"/>
    <n v="2"/>
    <n v="12000"/>
    <n v="5"/>
    <n v="22800"/>
    <n v="6098.7"/>
    <x v="3"/>
    <s v="Pending"/>
    <x v="2"/>
  </r>
  <r>
    <s v="ORD10021"/>
    <x v="18"/>
    <x v="1"/>
    <x v="0"/>
    <s v="CUST1044"/>
    <x v="17"/>
    <s v="Female"/>
    <n v="58"/>
    <s v="Ahmedabad"/>
    <s v="Gujarat"/>
    <x v="0"/>
    <x v="2"/>
    <s v="Apparel"/>
    <x v="4"/>
    <n v="3"/>
    <n v="1800"/>
    <n v="10"/>
    <n v="4860"/>
    <n v="871.64"/>
    <x v="0"/>
    <s v="Completed"/>
    <x v="4"/>
  </r>
  <r>
    <s v="ORD10022"/>
    <x v="19"/>
    <x v="1"/>
    <x v="8"/>
    <s v="CUST1000"/>
    <x v="18"/>
    <s v="Female"/>
    <n v="53"/>
    <s v="Delhi"/>
    <s v="Delhi"/>
    <x v="1"/>
    <x v="3"/>
    <s v="Home"/>
    <x v="5"/>
    <n v="3"/>
    <n v="9000"/>
    <n v="15"/>
    <n v="22950"/>
    <n v="2841.32"/>
    <x v="1"/>
    <s v="Cancelled"/>
    <x v="5"/>
  </r>
  <r>
    <s v="ORD10023"/>
    <x v="20"/>
    <x v="1"/>
    <x v="5"/>
    <s v="CUST1128"/>
    <x v="19"/>
    <s v="Male"/>
    <n v="33"/>
    <s v="Pune"/>
    <s v="Maharashtra"/>
    <x v="0"/>
    <x v="2"/>
    <s v="Apparel"/>
    <x v="10"/>
    <n v="5"/>
    <n v="800"/>
    <n v="5"/>
    <n v="3800"/>
    <n v="877.29"/>
    <x v="0"/>
    <s v="Completed"/>
    <x v="3"/>
  </r>
  <r>
    <s v="ORD10024"/>
    <x v="21"/>
    <x v="1"/>
    <x v="4"/>
    <s v="CUST1080"/>
    <x v="20"/>
    <s v="Female"/>
    <n v="45"/>
    <s v="Pune"/>
    <s v="Maharashtra"/>
    <x v="0"/>
    <x v="2"/>
    <s v="Apparel"/>
    <x v="6"/>
    <n v="5"/>
    <n v="3500"/>
    <n v="20"/>
    <n v="14000"/>
    <n v="3579.52"/>
    <x v="3"/>
    <s v="Cancelled"/>
    <x v="0"/>
  </r>
  <r>
    <s v="ORD10025"/>
    <x v="22"/>
    <x v="1"/>
    <x v="1"/>
    <s v="CUST1009"/>
    <x v="21"/>
    <s v="Female"/>
    <n v="57"/>
    <s v="Delhi"/>
    <s v="Delhi"/>
    <x v="1"/>
    <x v="1"/>
    <s v="Stationery"/>
    <x v="2"/>
    <n v="2"/>
    <n v="150"/>
    <n v="0"/>
    <n v="300"/>
    <n v="25.18"/>
    <x v="4"/>
    <s v="Pending"/>
    <x v="4"/>
  </r>
  <r>
    <s v="ORD10026"/>
    <x v="23"/>
    <x v="0"/>
    <x v="6"/>
    <s v="CUST1106"/>
    <x v="22"/>
    <s v="Male"/>
    <n v="46"/>
    <s v="Delhi"/>
    <s v="Delhi"/>
    <x v="1"/>
    <x v="2"/>
    <s v="Apparel"/>
    <x v="4"/>
    <n v="3"/>
    <n v="1800"/>
    <n v="20"/>
    <n v="4320"/>
    <n v="994.47"/>
    <x v="2"/>
    <s v="Completed"/>
    <x v="4"/>
  </r>
  <r>
    <s v="ORD10027"/>
    <x v="24"/>
    <x v="1"/>
    <x v="1"/>
    <s v="CUST1124"/>
    <x v="14"/>
    <s v="Female"/>
    <n v="37"/>
    <s v="Mumbai"/>
    <s v="Maharashtra"/>
    <x v="0"/>
    <x v="3"/>
    <s v="Home"/>
    <x v="5"/>
    <n v="3"/>
    <n v="9000"/>
    <n v="15"/>
    <n v="22950"/>
    <n v="2429.62"/>
    <x v="2"/>
    <s v="Completed"/>
    <x v="3"/>
  </r>
  <r>
    <s v="ORD10028"/>
    <x v="25"/>
    <x v="1"/>
    <x v="5"/>
    <s v="CUST1018"/>
    <x v="23"/>
    <s v="Male"/>
    <n v="41"/>
    <s v="Pune"/>
    <s v="Maharashtra"/>
    <x v="0"/>
    <x v="2"/>
    <s v="Apparel"/>
    <x v="6"/>
    <n v="4"/>
    <n v="3500"/>
    <n v="0"/>
    <n v="14000"/>
    <n v="1621.56"/>
    <x v="1"/>
    <s v="Pending"/>
    <x v="0"/>
  </r>
  <r>
    <s v="ORD10029"/>
    <x v="26"/>
    <x v="1"/>
    <x v="1"/>
    <s v="CUST1126"/>
    <x v="24"/>
    <s v="Female"/>
    <n v="44"/>
    <s v="Kolkata"/>
    <s v="West Bengal"/>
    <x v="3"/>
    <x v="0"/>
    <s v="Gadgets"/>
    <x v="9"/>
    <n v="5"/>
    <n v="65000"/>
    <n v="0"/>
    <n v="325000"/>
    <n v="87918.04"/>
    <x v="3"/>
    <s v="Cancelled"/>
    <x v="0"/>
  </r>
  <r>
    <s v="ORD10030"/>
    <x v="27"/>
    <x v="0"/>
    <x v="6"/>
    <s v="CUST1044"/>
    <x v="25"/>
    <s v="Female"/>
    <n v="39"/>
    <s v="Mumbai"/>
    <s v="Maharashtra"/>
    <x v="0"/>
    <x v="0"/>
    <s v="Gadgets"/>
    <x v="3"/>
    <n v="3"/>
    <n v="25000"/>
    <n v="5"/>
    <n v="71250"/>
    <n v="19201.22"/>
    <x v="4"/>
    <s v="Completed"/>
    <x v="2"/>
  </r>
  <r>
    <s v="ORD10031"/>
    <x v="28"/>
    <x v="1"/>
    <x v="1"/>
    <s v="CUST1098"/>
    <x v="26"/>
    <s v="Female"/>
    <n v="39"/>
    <s v="Bengaluru"/>
    <s v="Karnataka"/>
    <x v="2"/>
    <x v="2"/>
    <s v="Apparel"/>
    <x v="10"/>
    <n v="4"/>
    <n v="800"/>
    <n v="0"/>
    <n v="3200"/>
    <n v="895.45"/>
    <x v="3"/>
    <s v="Pending"/>
    <x v="1"/>
  </r>
  <r>
    <s v="ORD10032"/>
    <x v="29"/>
    <x v="0"/>
    <x v="7"/>
    <s v="CUST1114"/>
    <x v="27"/>
    <s v="Female"/>
    <n v="55"/>
    <s v="Chennai"/>
    <s v="Tamil Nadu"/>
    <x v="2"/>
    <x v="3"/>
    <s v="Home"/>
    <x v="5"/>
    <n v="3"/>
    <n v="9000"/>
    <n v="0"/>
    <n v="27000"/>
    <n v="4304.26"/>
    <x v="4"/>
    <s v="Completed"/>
    <x v="4"/>
  </r>
  <r>
    <s v="ORD10033"/>
    <x v="30"/>
    <x v="0"/>
    <x v="5"/>
    <s v="CUST1022"/>
    <x v="28"/>
    <s v="Male"/>
    <n v="44"/>
    <s v="Pune"/>
    <s v="Maharashtra"/>
    <x v="0"/>
    <x v="0"/>
    <s v="Gadgets"/>
    <x v="1"/>
    <n v="3"/>
    <n v="2500"/>
    <n v="10"/>
    <n v="6750"/>
    <n v="1134.1600000000001"/>
    <x v="4"/>
    <s v="Completed"/>
    <x v="0"/>
  </r>
  <r>
    <s v="ORD10034"/>
    <x v="31"/>
    <x v="0"/>
    <x v="5"/>
    <s v="CUST1027"/>
    <x v="29"/>
    <s v="Male"/>
    <n v="26"/>
    <s v="Chennai"/>
    <s v="Tamil Nadu"/>
    <x v="2"/>
    <x v="0"/>
    <s v="Gadgets"/>
    <x v="1"/>
    <n v="4"/>
    <n v="2500"/>
    <n v="5"/>
    <n v="9500"/>
    <n v="1583.2"/>
    <x v="0"/>
    <s v="Cancelled"/>
    <x v="0"/>
  </r>
  <r>
    <s v="ORD10035"/>
    <x v="32"/>
    <x v="1"/>
    <x v="2"/>
    <s v="CUST1134"/>
    <x v="30"/>
    <s v="Female"/>
    <n v="50"/>
    <s v="Delhi"/>
    <s v="Delhi"/>
    <x v="1"/>
    <x v="0"/>
    <s v="Gadgets"/>
    <x v="9"/>
    <n v="1"/>
    <n v="65000"/>
    <n v="20"/>
    <n v="52000"/>
    <n v="5579.81"/>
    <x v="1"/>
    <s v="Cancelled"/>
    <x v="2"/>
  </r>
  <r>
    <s v="ORD10036"/>
    <x v="33"/>
    <x v="1"/>
    <x v="7"/>
    <s v="CUST1059"/>
    <x v="31"/>
    <s v="Male"/>
    <n v="39"/>
    <s v="Pune"/>
    <s v="Maharashtra"/>
    <x v="0"/>
    <x v="2"/>
    <s v="Apparel"/>
    <x v="10"/>
    <n v="2"/>
    <n v="800"/>
    <n v="0"/>
    <n v="1600"/>
    <n v="445.53"/>
    <x v="4"/>
    <s v="Completed"/>
    <x v="4"/>
  </r>
  <r>
    <s v="ORD10037"/>
    <x v="34"/>
    <x v="1"/>
    <x v="3"/>
    <s v="CUST1029"/>
    <x v="5"/>
    <s v="Male"/>
    <n v="30"/>
    <s v="Delhi"/>
    <s v="Delhi"/>
    <x v="1"/>
    <x v="3"/>
    <s v="Home"/>
    <x v="5"/>
    <n v="5"/>
    <n v="9000"/>
    <n v="15"/>
    <n v="38250"/>
    <n v="6693.23"/>
    <x v="4"/>
    <s v="Completed"/>
    <x v="3"/>
  </r>
  <r>
    <s v="ORD10038"/>
    <x v="35"/>
    <x v="0"/>
    <x v="1"/>
    <s v="CUST1049"/>
    <x v="3"/>
    <s v="Male"/>
    <n v="38"/>
    <s v="Bengaluru"/>
    <s v="Karnataka"/>
    <x v="2"/>
    <x v="2"/>
    <s v="Apparel"/>
    <x v="4"/>
    <n v="1"/>
    <n v="1800"/>
    <n v="20"/>
    <n v="1440"/>
    <n v="203.68"/>
    <x v="1"/>
    <s v="Completed"/>
    <x v="4"/>
  </r>
  <r>
    <s v="ORD10039"/>
    <x v="36"/>
    <x v="0"/>
    <x v="7"/>
    <s v="CUST1085"/>
    <x v="25"/>
    <s v="Female"/>
    <n v="35"/>
    <s v="Delhi"/>
    <s v="Delhi"/>
    <x v="1"/>
    <x v="1"/>
    <s v="Stationery"/>
    <x v="11"/>
    <n v="3"/>
    <n v="450"/>
    <n v="5"/>
    <n v="1282.5"/>
    <n v="217.13"/>
    <x v="2"/>
    <s v="Cancelled"/>
    <x v="5"/>
  </r>
  <r>
    <s v="ORD10040"/>
    <x v="37"/>
    <x v="0"/>
    <x v="1"/>
    <s v="CUST1092"/>
    <x v="32"/>
    <s v="Male"/>
    <n v="54"/>
    <s v="Pune"/>
    <s v="Maharashtra"/>
    <x v="0"/>
    <x v="3"/>
    <s v="Home"/>
    <x v="5"/>
    <n v="3"/>
    <n v="9000"/>
    <n v="0"/>
    <n v="27000"/>
    <n v="3380.09"/>
    <x v="0"/>
    <s v="Cancelled"/>
    <x v="4"/>
  </r>
  <r>
    <s v="ORD10041"/>
    <x v="38"/>
    <x v="1"/>
    <x v="2"/>
    <s v="CUST1044"/>
    <x v="33"/>
    <s v="Male"/>
    <n v="37"/>
    <s v="Kolkata"/>
    <s v="West Bengal"/>
    <x v="3"/>
    <x v="1"/>
    <s v="Stationery"/>
    <x v="2"/>
    <n v="1"/>
    <n v="150"/>
    <n v="5"/>
    <n v="142.5"/>
    <n v="21.4"/>
    <x v="3"/>
    <s v="Completed"/>
    <x v="1"/>
  </r>
  <r>
    <s v="ORD10042"/>
    <x v="39"/>
    <x v="1"/>
    <x v="1"/>
    <s v="CUST1025"/>
    <x v="34"/>
    <s v="Male"/>
    <n v="25"/>
    <s v="Mumbai"/>
    <s v="Maharashtra"/>
    <x v="0"/>
    <x v="0"/>
    <s v="Gadgets"/>
    <x v="9"/>
    <n v="1"/>
    <n v="65000"/>
    <n v="0"/>
    <n v="65000"/>
    <n v="16585.150000000001"/>
    <x v="1"/>
    <s v="Completed"/>
    <x v="4"/>
  </r>
  <r>
    <s v="ORD10043"/>
    <x v="40"/>
    <x v="1"/>
    <x v="3"/>
    <s v="CUST1026"/>
    <x v="35"/>
    <s v="Male"/>
    <n v="58"/>
    <s v="Chennai"/>
    <s v="Tamil Nadu"/>
    <x v="2"/>
    <x v="3"/>
    <s v="Home"/>
    <x v="8"/>
    <n v="5"/>
    <n v="7000"/>
    <n v="20"/>
    <n v="28000"/>
    <n v="6737.12"/>
    <x v="0"/>
    <s v="Pending"/>
    <x v="2"/>
  </r>
  <r>
    <s v="ORD10044"/>
    <x v="41"/>
    <x v="1"/>
    <x v="3"/>
    <s v="CUST1139"/>
    <x v="36"/>
    <s v="Female"/>
    <n v="55"/>
    <s v="Hyderabad"/>
    <s v="Telangana"/>
    <x v="2"/>
    <x v="2"/>
    <s v="Apparel"/>
    <x v="4"/>
    <n v="1"/>
    <n v="1800"/>
    <n v="5"/>
    <n v="1710"/>
    <n v="232.75"/>
    <x v="2"/>
    <s v="Completed"/>
    <x v="5"/>
  </r>
  <r>
    <s v="ORD10045"/>
    <x v="42"/>
    <x v="1"/>
    <x v="1"/>
    <s v="CUST1013"/>
    <x v="37"/>
    <s v="Male"/>
    <n v="33"/>
    <s v="Kolkata"/>
    <s v="West Bengal"/>
    <x v="3"/>
    <x v="1"/>
    <s v="Stationery"/>
    <x v="11"/>
    <n v="1"/>
    <n v="450"/>
    <n v="0"/>
    <n v="450"/>
    <n v="98.72"/>
    <x v="4"/>
    <s v="Completed"/>
    <x v="3"/>
  </r>
  <r>
    <s v="ORD10046"/>
    <x v="43"/>
    <x v="1"/>
    <x v="7"/>
    <s v="CUST1000"/>
    <x v="38"/>
    <s v="Male"/>
    <n v="34"/>
    <s v="Chennai"/>
    <s v="Tamil Nadu"/>
    <x v="2"/>
    <x v="3"/>
    <s v="Home"/>
    <x v="12"/>
    <n v="1"/>
    <n v="6000"/>
    <n v="20"/>
    <n v="4800"/>
    <n v="1037.1400000000001"/>
    <x v="2"/>
    <s v="Completed"/>
    <x v="2"/>
  </r>
  <r>
    <s v="ORD10047"/>
    <x v="44"/>
    <x v="0"/>
    <x v="0"/>
    <s v="CUST1017"/>
    <x v="39"/>
    <s v="Male"/>
    <n v="43"/>
    <s v="Hyderabad"/>
    <s v="Telangana"/>
    <x v="2"/>
    <x v="3"/>
    <s v="Home"/>
    <x v="5"/>
    <n v="2"/>
    <n v="9000"/>
    <n v="5"/>
    <n v="17100"/>
    <n v="1472.07"/>
    <x v="3"/>
    <s v="Completed"/>
    <x v="2"/>
  </r>
  <r>
    <s v="ORD10048"/>
    <x v="45"/>
    <x v="1"/>
    <x v="6"/>
    <s v="CUST1097"/>
    <x v="40"/>
    <s v="Male"/>
    <n v="25"/>
    <s v="Bengaluru"/>
    <s v="Karnataka"/>
    <x v="2"/>
    <x v="1"/>
    <s v="Stationery"/>
    <x v="7"/>
    <n v="5"/>
    <n v="120"/>
    <n v="15"/>
    <n v="510"/>
    <n v="114.99"/>
    <x v="1"/>
    <s v="Completed"/>
    <x v="2"/>
  </r>
  <r>
    <s v="ORD10049"/>
    <x v="46"/>
    <x v="1"/>
    <x v="9"/>
    <s v="CUST1103"/>
    <x v="41"/>
    <s v="Female"/>
    <n v="24"/>
    <s v="Delhi"/>
    <s v="Delhi"/>
    <x v="1"/>
    <x v="0"/>
    <s v="Gadgets"/>
    <x v="0"/>
    <n v="1"/>
    <n v="12000"/>
    <n v="15"/>
    <n v="10200"/>
    <n v="1945.54"/>
    <x v="1"/>
    <s v="Completed"/>
    <x v="1"/>
  </r>
  <r>
    <s v="ORD10050"/>
    <x v="47"/>
    <x v="1"/>
    <x v="10"/>
    <s v="CUST1143"/>
    <x v="42"/>
    <s v="Female"/>
    <n v="48"/>
    <s v="Delhi"/>
    <s v="Delhi"/>
    <x v="1"/>
    <x v="0"/>
    <s v="Gadgets"/>
    <x v="3"/>
    <n v="4"/>
    <n v="25000"/>
    <n v="15"/>
    <n v="85000"/>
    <n v="7186.68"/>
    <x v="0"/>
    <s v="Cancelled"/>
    <x v="5"/>
  </r>
  <r>
    <s v="ORD10051"/>
    <x v="48"/>
    <x v="0"/>
    <x v="6"/>
    <s v="CUST1117"/>
    <x v="35"/>
    <s v="Male"/>
    <n v="40"/>
    <s v="Chennai"/>
    <s v="Tamil Nadu"/>
    <x v="2"/>
    <x v="3"/>
    <s v="Home"/>
    <x v="5"/>
    <n v="3"/>
    <n v="9000"/>
    <n v="5"/>
    <n v="25650"/>
    <n v="2752.66"/>
    <x v="3"/>
    <s v="Completed"/>
    <x v="4"/>
  </r>
  <r>
    <s v="ORD10052"/>
    <x v="49"/>
    <x v="1"/>
    <x v="2"/>
    <s v="CUST1134"/>
    <x v="41"/>
    <s v="Male"/>
    <n v="20"/>
    <s v="Kolkata"/>
    <s v="West Bengal"/>
    <x v="3"/>
    <x v="2"/>
    <s v="Apparel"/>
    <x v="6"/>
    <n v="1"/>
    <n v="3500"/>
    <n v="5"/>
    <n v="3325"/>
    <n v="603.02"/>
    <x v="4"/>
    <s v="Completed"/>
    <x v="1"/>
  </r>
  <r>
    <s v="ORD10053"/>
    <x v="50"/>
    <x v="1"/>
    <x v="6"/>
    <s v="CUST1098"/>
    <x v="32"/>
    <s v="Female"/>
    <n v="36"/>
    <s v="Pune"/>
    <s v="Maharashtra"/>
    <x v="0"/>
    <x v="0"/>
    <s v="Gadgets"/>
    <x v="9"/>
    <n v="4"/>
    <n v="65000"/>
    <n v="5"/>
    <n v="247000"/>
    <n v="58288.56"/>
    <x v="4"/>
    <s v="Completed"/>
    <x v="4"/>
  </r>
  <r>
    <s v="ORD10054"/>
    <x v="14"/>
    <x v="1"/>
    <x v="6"/>
    <s v="CUST1145"/>
    <x v="43"/>
    <s v="Female"/>
    <n v="57"/>
    <s v="Ahmedabad"/>
    <s v="Gujarat"/>
    <x v="0"/>
    <x v="1"/>
    <s v="Stationery"/>
    <x v="2"/>
    <n v="3"/>
    <n v="150"/>
    <n v="5"/>
    <n v="427.5"/>
    <n v="35.64"/>
    <x v="2"/>
    <s v="Completed"/>
    <x v="0"/>
  </r>
  <r>
    <s v="ORD10055"/>
    <x v="51"/>
    <x v="1"/>
    <x v="2"/>
    <s v="CUST1074"/>
    <x v="44"/>
    <s v="Male"/>
    <n v="33"/>
    <s v="Bengaluru"/>
    <s v="Karnataka"/>
    <x v="2"/>
    <x v="2"/>
    <s v="Apparel"/>
    <x v="10"/>
    <n v="5"/>
    <n v="800"/>
    <n v="20"/>
    <n v="3200"/>
    <n v="583.73"/>
    <x v="0"/>
    <s v="Completed"/>
    <x v="2"/>
  </r>
  <r>
    <s v="ORD10056"/>
    <x v="52"/>
    <x v="1"/>
    <x v="0"/>
    <s v="CUST1062"/>
    <x v="45"/>
    <s v="Male"/>
    <n v="51"/>
    <s v="Delhi"/>
    <s v="Delhi"/>
    <x v="1"/>
    <x v="0"/>
    <s v="Gadgets"/>
    <x v="1"/>
    <n v="2"/>
    <n v="2500"/>
    <n v="5"/>
    <n v="4750"/>
    <n v="1055.7"/>
    <x v="0"/>
    <s v="Cancelled"/>
    <x v="2"/>
  </r>
  <r>
    <s v="ORD10057"/>
    <x v="53"/>
    <x v="0"/>
    <x v="5"/>
    <s v="CUST1145"/>
    <x v="46"/>
    <s v="Male"/>
    <n v="57"/>
    <s v="Mumbai"/>
    <s v="Maharashtra"/>
    <x v="0"/>
    <x v="3"/>
    <s v="Home"/>
    <x v="5"/>
    <n v="1"/>
    <n v="9000"/>
    <n v="20"/>
    <n v="7200"/>
    <n v="1827"/>
    <x v="3"/>
    <s v="Pending"/>
    <x v="2"/>
  </r>
  <r>
    <s v="ORD10058"/>
    <x v="54"/>
    <x v="0"/>
    <x v="2"/>
    <s v="CUST1015"/>
    <x v="2"/>
    <s v="Female"/>
    <n v="34"/>
    <s v="Bengaluru"/>
    <s v="Karnataka"/>
    <x v="2"/>
    <x v="3"/>
    <s v="Home"/>
    <x v="5"/>
    <n v="5"/>
    <n v="9000"/>
    <n v="0"/>
    <n v="45000"/>
    <n v="6533.89"/>
    <x v="0"/>
    <s v="Completed"/>
    <x v="3"/>
  </r>
  <r>
    <s v="ORD10059"/>
    <x v="55"/>
    <x v="0"/>
    <x v="5"/>
    <s v="CUST1042"/>
    <x v="47"/>
    <s v="Female"/>
    <n v="20"/>
    <s v="Kolkata"/>
    <s v="West Bengal"/>
    <x v="3"/>
    <x v="0"/>
    <s v="Gadgets"/>
    <x v="3"/>
    <n v="5"/>
    <n v="25000"/>
    <n v="0"/>
    <n v="125000"/>
    <n v="12401.1"/>
    <x v="0"/>
    <s v="Completed"/>
    <x v="0"/>
  </r>
  <r>
    <s v="ORD10060"/>
    <x v="56"/>
    <x v="0"/>
    <x v="7"/>
    <s v="CUST1129"/>
    <x v="48"/>
    <s v="Female"/>
    <n v="57"/>
    <s v="Pune"/>
    <s v="Maharashtra"/>
    <x v="0"/>
    <x v="1"/>
    <s v="Stationery"/>
    <x v="2"/>
    <n v="4"/>
    <n v="150"/>
    <n v="10"/>
    <n v="540"/>
    <n v="90.97"/>
    <x v="3"/>
    <s v="Pending"/>
    <x v="2"/>
  </r>
  <r>
    <s v="ORD10061"/>
    <x v="57"/>
    <x v="0"/>
    <x v="7"/>
    <s v="CUST1011"/>
    <x v="49"/>
    <s v="Female"/>
    <n v="28"/>
    <s v="Bengaluru"/>
    <s v="Karnataka"/>
    <x v="2"/>
    <x v="2"/>
    <s v="Apparel"/>
    <x v="10"/>
    <n v="2"/>
    <n v="800"/>
    <n v="20"/>
    <n v="1280"/>
    <n v="143.99"/>
    <x v="0"/>
    <s v="Cancelled"/>
    <x v="5"/>
  </r>
  <r>
    <s v="ORD10062"/>
    <x v="58"/>
    <x v="1"/>
    <x v="10"/>
    <s v="CUST1056"/>
    <x v="50"/>
    <s v="Female"/>
    <n v="33"/>
    <s v="Pune"/>
    <s v="Maharashtra"/>
    <x v="0"/>
    <x v="1"/>
    <s v="Stationery"/>
    <x v="2"/>
    <n v="5"/>
    <n v="150"/>
    <n v="0"/>
    <n v="750"/>
    <n v="188.67"/>
    <x v="2"/>
    <s v="Completed"/>
    <x v="1"/>
  </r>
  <r>
    <s v="ORD10063"/>
    <x v="59"/>
    <x v="1"/>
    <x v="5"/>
    <s v="CUST1132"/>
    <x v="51"/>
    <s v="Male"/>
    <n v="49"/>
    <s v="Chennai"/>
    <s v="Tamil Nadu"/>
    <x v="2"/>
    <x v="3"/>
    <s v="Home"/>
    <x v="8"/>
    <n v="4"/>
    <n v="7000"/>
    <n v="0"/>
    <n v="28000"/>
    <n v="5806.62"/>
    <x v="1"/>
    <s v="Pending"/>
    <x v="3"/>
  </r>
  <r>
    <s v="ORD10064"/>
    <x v="60"/>
    <x v="1"/>
    <x v="9"/>
    <s v="CUST1005"/>
    <x v="52"/>
    <s v="Female"/>
    <n v="37"/>
    <s v="Ahmedabad"/>
    <s v="Gujarat"/>
    <x v="0"/>
    <x v="0"/>
    <s v="Gadgets"/>
    <x v="1"/>
    <n v="2"/>
    <n v="2500"/>
    <n v="5"/>
    <n v="4750"/>
    <n v="509.75"/>
    <x v="0"/>
    <s v="Pending"/>
    <x v="4"/>
  </r>
  <r>
    <s v="ORD10065"/>
    <x v="61"/>
    <x v="1"/>
    <x v="11"/>
    <s v="CUST1120"/>
    <x v="53"/>
    <s v="Female"/>
    <n v="45"/>
    <s v="Pune"/>
    <s v="Maharashtra"/>
    <x v="0"/>
    <x v="1"/>
    <s v="Stationery"/>
    <x v="11"/>
    <n v="1"/>
    <n v="450"/>
    <n v="0"/>
    <n v="450"/>
    <n v="55.45"/>
    <x v="4"/>
    <s v="Pending"/>
    <x v="1"/>
  </r>
  <r>
    <s v="ORD10066"/>
    <x v="62"/>
    <x v="1"/>
    <x v="3"/>
    <s v="CUST1024"/>
    <x v="54"/>
    <s v="Male"/>
    <n v="54"/>
    <s v="Delhi"/>
    <s v="Delhi"/>
    <x v="1"/>
    <x v="3"/>
    <s v="Home"/>
    <x v="12"/>
    <n v="3"/>
    <n v="6000"/>
    <n v="10"/>
    <n v="16200"/>
    <n v="2060.06"/>
    <x v="2"/>
    <s v="Cancelled"/>
    <x v="2"/>
  </r>
  <r>
    <s v="ORD10067"/>
    <x v="63"/>
    <x v="1"/>
    <x v="1"/>
    <s v="CUST1142"/>
    <x v="55"/>
    <s v="Male"/>
    <n v="26"/>
    <s v="Delhi"/>
    <s v="Delhi"/>
    <x v="1"/>
    <x v="1"/>
    <s v="Stationery"/>
    <x v="11"/>
    <n v="1"/>
    <n v="450"/>
    <n v="5"/>
    <n v="427.5"/>
    <n v="66.59"/>
    <x v="3"/>
    <s v="Completed"/>
    <x v="1"/>
  </r>
  <r>
    <s v="ORD10068"/>
    <x v="64"/>
    <x v="1"/>
    <x v="3"/>
    <s v="CUST1077"/>
    <x v="56"/>
    <s v="Male"/>
    <n v="34"/>
    <s v="Chennai"/>
    <s v="Tamil Nadu"/>
    <x v="2"/>
    <x v="1"/>
    <s v="Stationery"/>
    <x v="11"/>
    <n v="2"/>
    <n v="450"/>
    <n v="20"/>
    <n v="720"/>
    <n v="75.52"/>
    <x v="2"/>
    <s v="Completed"/>
    <x v="2"/>
  </r>
  <r>
    <s v="ORD10069"/>
    <x v="65"/>
    <x v="0"/>
    <x v="0"/>
    <s v="CUST1105"/>
    <x v="57"/>
    <s v="Female"/>
    <n v="22"/>
    <s v="Bengaluru"/>
    <s v="Karnataka"/>
    <x v="2"/>
    <x v="0"/>
    <s v="Gadgets"/>
    <x v="3"/>
    <n v="2"/>
    <n v="25000"/>
    <n v="5"/>
    <n v="47500"/>
    <n v="12712.48"/>
    <x v="0"/>
    <s v="Completed"/>
    <x v="3"/>
  </r>
  <r>
    <s v="ORD10070"/>
    <x v="66"/>
    <x v="0"/>
    <x v="2"/>
    <s v="CUST1097"/>
    <x v="58"/>
    <s v="Male"/>
    <n v="37"/>
    <s v="Kolkata"/>
    <s v="West Bengal"/>
    <x v="3"/>
    <x v="3"/>
    <s v="Home"/>
    <x v="5"/>
    <n v="5"/>
    <n v="9000"/>
    <n v="0"/>
    <n v="45000"/>
    <n v="3982.19"/>
    <x v="3"/>
    <s v="Completed"/>
    <x v="4"/>
  </r>
  <r>
    <s v="ORD10071"/>
    <x v="67"/>
    <x v="1"/>
    <x v="9"/>
    <s v="CUST1010"/>
    <x v="59"/>
    <s v="Female"/>
    <n v="44"/>
    <s v="Mumbai"/>
    <s v="Maharashtra"/>
    <x v="0"/>
    <x v="2"/>
    <s v="Apparel"/>
    <x v="4"/>
    <n v="3"/>
    <n v="1800"/>
    <n v="15"/>
    <n v="4590"/>
    <n v="452.23"/>
    <x v="1"/>
    <s v="Completed"/>
    <x v="2"/>
  </r>
  <r>
    <s v="ORD10072"/>
    <x v="68"/>
    <x v="0"/>
    <x v="6"/>
    <s v="CUST1123"/>
    <x v="60"/>
    <s v="Male"/>
    <n v="48"/>
    <s v="Pune"/>
    <s v="Maharashtra"/>
    <x v="0"/>
    <x v="0"/>
    <s v="Gadgets"/>
    <x v="1"/>
    <n v="1"/>
    <n v="2500"/>
    <n v="15"/>
    <n v="2125"/>
    <n v="206.48"/>
    <x v="0"/>
    <s v="Completed"/>
    <x v="4"/>
  </r>
  <r>
    <s v="ORD10073"/>
    <x v="69"/>
    <x v="1"/>
    <x v="0"/>
    <s v="CUST1011"/>
    <x v="57"/>
    <s v="Female"/>
    <n v="56"/>
    <s v="Mumbai"/>
    <s v="Maharashtra"/>
    <x v="0"/>
    <x v="2"/>
    <s v="Apparel"/>
    <x v="4"/>
    <n v="5"/>
    <n v="1800"/>
    <n v="0"/>
    <n v="9000"/>
    <n v="1077.83"/>
    <x v="0"/>
    <s v="Completed"/>
    <x v="1"/>
  </r>
  <r>
    <s v="ORD10074"/>
    <x v="70"/>
    <x v="1"/>
    <x v="4"/>
    <s v="CUST1150"/>
    <x v="61"/>
    <s v="Female"/>
    <n v="51"/>
    <s v="Kolkata"/>
    <s v="West Bengal"/>
    <x v="3"/>
    <x v="1"/>
    <s v="Stationery"/>
    <x v="2"/>
    <n v="1"/>
    <n v="150"/>
    <n v="15"/>
    <n v="127.5"/>
    <n v="31.12"/>
    <x v="1"/>
    <s v="Pending"/>
    <x v="3"/>
  </r>
  <r>
    <s v="ORD10075"/>
    <x v="71"/>
    <x v="0"/>
    <x v="2"/>
    <s v="CUST1074"/>
    <x v="32"/>
    <s v="Male"/>
    <n v="26"/>
    <s v="Ahmedabad"/>
    <s v="Gujarat"/>
    <x v="0"/>
    <x v="2"/>
    <s v="Apparel"/>
    <x v="10"/>
    <n v="2"/>
    <n v="800"/>
    <n v="5"/>
    <n v="1520"/>
    <n v="251.82"/>
    <x v="3"/>
    <s v="Completed"/>
    <x v="5"/>
  </r>
  <r>
    <s v="ORD10076"/>
    <x v="72"/>
    <x v="1"/>
    <x v="7"/>
    <s v="CUST1054"/>
    <x v="62"/>
    <s v="Male"/>
    <n v="58"/>
    <s v="Pune"/>
    <s v="Maharashtra"/>
    <x v="0"/>
    <x v="2"/>
    <s v="Apparel"/>
    <x v="10"/>
    <n v="4"/>
    <n v="800"/>
    <n v="20"/>
    <n v="2560"/>
    <n v="416.8"/>
    <x v="2"/>
    <s v="Completed"/>
    <x v="0"/>
  </r>
  <r>
    <s v="ORD10077"/>
    <x v="73"/>
    <x v="1"/>
    <x v="5"/>
    <s v="CUST1079"/>
    <x v="63"/>
    <s v="Male"/>
    <n v="50"/>
    <s v="Bengaluru"/>
    <s v="Karnataka"/>
    <x v="2"/>
    <x v="2"/>
    <s v="Apparel"/>
    <x v="4"/>
    <n v="1"/>
    <n v="1800"/>
    <n v="15"/>
    <n v="1530"/>
    <n v="377.71"/>
    <x v="2"/>
    <s v="Completed"/>
    <x v="1"/>
  </r>
  <r>
    <s v="ORD10078"/>
    <x v="74"/>
    <x v="0"/>
    <x v="7"/>
    <s v="CUST1007"/>
    <x v="64"/>
    <s v="Male"/>
    <n v="23"/>
    <s v="Chennai"/>
    <s v="Tamil Nadu"/>
    <x v="2"/>
    <x v="0"/>
    <s v="Gadgets"/>
    <x v="0"/>
    <n v="4"/>
    <n v="12000"/>
    <n v="10"/>
    <n v="43200"/>
    <n v="6686.34"/>
    <x v="0"/>
    <s v="Completed"/>
    <x v="4"/>
  </r>
  <r>
    <s v="ORD10079"/>
    <x v="18"/>
    <x v="1"/>
    <x v="0"/>
    <s v="CUST1010"/>
    <x v="65"/>
    <s v="Female"/>
    <n v="56"/>
    <s v="Bengaluru"/>
    <s v="Karnataka"/>
    <x v="2"/>
    <x v="2"/>
    <s v="Apparel"/>
    <x v="6"/>
    <n v="4"/>
    <n v="3500"/>
    <n v="0"/>
    <n v="14000"/>
    <n v="3173.02"/>
    <x v="0"/>
    <s v="Completed"/>
    <x v="0"/>
  </r>
  <r>
    <s v="ORD10080"/>
    <x v="75"/>
    <x v="1"/>
    <x v="6"/>
    <s v="CUST1006"/>
    <x v="66"/>
    <s v="Female"/>
    <n v="21"/>
    <s v="Kolkata"/>
    <s v="West Bengal"/>
    <x v="3"/>
    <x v="3"/>
    <s v="Home"/>
    <x v="8"/>
    <n v="2"/>
    <n v="7000"/>
    <n v="5"/>
    <n v="13300"/>
    <n v="2803.5"/>
    <x v="4"/>
    <s v="Completed"/>
    <x v="4"/>
  </r>
  <r>
    <s v="ORD10081"/>
    <x v="76"/>
    <x v="1"/>
    <x v="3"/>
    <s v="CUST1081"/>
    <x v="67"/>
    <s v="Male"/>
    <n v="38"/>
    <s v="Kolkata"/>
    <s v="West Bengal"/>
    <x v="3"/>
    <x v="3"/>
    <s v="Home"/>
    <x v="12"/>
    <n v="3"/>
    <n v="6000"/>
    <n v="20"/>
    <n v="14400"/>
    <n v="3952.89"/>
    <x v="4"/>
    <s v="Completed"/>
    <x v="5"/>
  </r>
  <r>
    <s v="ORD10082"/>
    <x v="77"/>
    <x v="0"/>
    <x v="7"/>
    <s v="CUST1079"/>
    <x v="68"/>
    <s v="Male"/>
    <n v="47"/>
    <s v="Kolkata"/>
    <s v="West Bengal"/>
    <x v="3"/>
    <x v="0"/>
    <s v="Gadgets"/>
    <x v="0"/>
    <n v="2"/>
    <n v="12000"/>
    <n v="10"/>
    <n v="21600"/>
    <n v="5418.62"/>
    <x v="0"/>
    <s v="Completed"/>
    <x v="3"/>
  </r>
  <r>
    <s v="ORD10083"/>
    <x v="78"/>
    <x v="0"/>
    <x v="6"/>
    <s v="CUST1061"/>
    <x v="48"/>
    <s v="Male"/>
    <n v="51"/>
    <s v="Pune"/>
    <s v="Maharashtra"/>
    <x v="0"/>
    <x v="2"/>
    <s v="Apparel"/>
    <x v="4"/>
    <n v="5"/>
    <n v="1800"/>
    <n v="15"/>
    <n v="7650"/>
    <n v="2059.8000000000002"/>
    <x v="3"/>
    <s v="Cancelled"/>
    <x v="4"/>
  </r>
  <r>
    <s v="ORD10084"/>
    <x v="79"/>
    <x v="0"/>
    <x v="1"/>
    <s v="CUST1061"/>
    <x v="43"/>
    <s v="Male"/>
    <n v="48"/>
    <s v="Bengaluru"/>
    <s v="Karnataka"/>
    <x v="2"/>
    <x v="0"/>
    <s v="Gadgets"/>
    <x v="3"/>
    <n v="3"/>
    <n v="25000"/>
    <n v="15"/>
    <n v="63750"/>
    <n v="13973.34"/>
    <x v="4"/>
    <s v="Cancelled"/>
    <x v="4"/>
  </r>
  <r>
    <s v="ORD10085"/>
    <x v="80"/>
    <x v="0"/>
    <x v="5"/>
    <s v="CUST1052"/>
    <x v="69"/>
    <s v="Male"/>
    <n v="54"/>
    <s v="Bengaluru"/>
    <s v="Karnataka"/>
    <x v="2"/>
    <x v="3"/>
    <s v="Home"/>
    <x v="12"/>
    <n v="3"/>
    <n v="6000"/>
    <n v="20"/>
    <n v="14400"/>
    <n v="1489.72"/>
    <x v="3"/>
    <s v="Completed"/>
    <x v="2"/>
  </r>
  <r>
    <s v="ORD10086"/>
    <x v="77"/>
    <x v="0"/>
    <x v="7"/>
    <s v="CUST1087"/>
    <x v="28"/>
    <s v="Male"/>
    <n v="42"/>
    <s v="Hyderabad"/>
    <s v="Telangana"/>
    <x v="2"/>
    <x v="2"/>
    <s v="Apparel"/>
    <x v="10"/>
    <n v="3"/>
    <n v="800"/>
    <n v="10"/>
    <n v="2160"/>
    <n v="250.27"/>
    <x v="3"/>
    <s v="Cancelled"/>
    <x v="0"/>
  </r>
  <r>
    <s v="ORD10087"/>
    <x v="81"/>
    <x v="1"/>
    <x v="10"/>
    <s v="CUST1056"/>
    <x v="70"/>
    <s v="Male"/>
    <n v="48"/>
    <s v="Ahmedabad"/>
    <s v="Gujarat"/>
    <x v="0"/>
    <x v="0"/>
    <s v="Gadgets"/>
    <x v="1"/>
    <n v="1"/>
    <n v="2500"/>
    <n v="10"/>
    <n v="2250"/>
    <n v="502.14"/>
    <x v="1"/>
    <s v="Completed"/>
    <x v="5"/>
  </r>
  <r>
    <s v="ORD10088"/>
    <x v="82"/>
    <x v="0"/>
    <x v="7"/>
    <s v="CUST1124"/>
    <x v="71"/>
    <s v="Female"/>
    <n v="36"/>
    <s v="Delhi"/>
    <s v="Delhi"/>
    <x v="1"/>
    <x v="3"/>
    <s v="Home"/>
    <x v="12"/>
    <n v="1"/>
    <n v="6000"/>
    <n v="15"/>
    <n v="5100"/>
    <n v="886.34"/>
    <x v="1"/>
    <s v="Cancelled"/>
    <x v="5"/>
  </r>
  <r>
    <s v="ORD10089"/>
    <x v="83"/>
    <x v="1"/>
    <x v="8"/>
    <s v="CUST1031"/>
    <x v="52"/>
    <s v="Female"/>
    <n v="56"/>
    <s v="Kolkata"/>
    <s v="West Bengal"/>
    <x v="3"/>
    <x v="1"/>
    <s v="Stationery"/>
    <x v="2"/>
    <n v="2"/>
    <n v="150"/>
    <n v="0"/>
    <n v="300"/>
    <n v="58.71"/>
    <x v="2"/>
    <s v="Pending"/>
    <x v="3"/>
  </r>
  <r>
    <s v="ORD10090"/>
    <x v="84"/>
    <x v="1"/>
    <x v="11"/>
    <s v="CUST1086"/>
    <x v="72"/>
    <s v="Male"/>
    <n v="38"/>
    <s v="Mumbai"/>
    <s v="Maharashtra"/>
    <x v="0"/>
    <x v="2"/>
    <s v="Apparel"/>
    <x v="6"/>
    <n v="3"/>
    <n v="3500"/>
    <n v="20"/>
    <n v="8400"/>
    <n v="1607.44"/>
    <x v="0"/>
    <s v="Completed"/>
    <x v="0"/>
  </r>
  <r>
    <s v="ORD10091"/>
    <x v="85"/>
    <x v="1"/>
    <x v="9"/>
    <s v="CUST1149"/>
    <x v="73"/>
    <s v="Female"/>
    <n v="45"/>
    <s v="Chennai"/>
    <s v="Tamil Nadu"/>
    <x v="2"/>
    <x v="1"/>
    <s v="Stationery"/>
    <x v="7"/>
    <n v="2"/>
    <n v="120"/>
    <n v="15"/>
    <n v="204"/>
    <n v="48.25"/>
    <x v="0"/>
    <s v="Completed"/>
    <x v="1"/>
  </r>
  <r>
    <s v="ORD10092"/>
    <x v="86"/>
    <x v="1"/>
    <x v="11"/>
    <s v="CUST1061"/>
    <x v="36"/>
    <s v="Female"/>
    <n v="59"/>
    <s v="Delhi"/>
    <s v="Delhi"/>
    <x v="1"/>
    <x v="3"/>
    <s v="Home"/>
    <x v="8"/>
    <n v="2"/>
    <n v="7000"/>
    <n v="10"/>
    <n v="12600"/>
    <n v="3193.47"/>
    <x v="1"/>
    <s v="Completed"/>
    <x v="5"/>
  </r>
  <r>
    <s v="ORD10093"/>
    <x v="87"/>
    <x v="0"/>
    <x v="0"/>
    <s v="CUST1074"/>
    <x v="52"/>
    <s v="Female"/>
    <n v="37"/>
    <s v="Bengaluru"/>
    <s v="Karnataka"/>
    <x v="2"/>
    <x v="3"/>
    <s v="Home"/>
    <x v="8"/>
    <n v="2"/>
    <n v="7000"/>
    <n v="5"/>
    <n v="13300"/>
    <n v="2442.11"/>
    <x v="0"/>
    <s v="Completed"/>
    <x v="3"/>
  </r>
  <r>
    <s v="ORD10094"/>
    <x v="88"/>
    <x v="0"/>
    <x v="7"/>
    <s v="CUST1035"/>
    <x v="67"/>
    <s v="Female"/>
    <n v="44"/>
    <s v="Pune"/>
    <s v="Maharashtra"/>
    <x v="0"/>
    <x v="0"/>
    <s v="Gadgets"/>
    <x v="1"/>
    <n v="3"/>
    <n v="2500"/>
    <n v="5"/>
    <n v="7125"/>
    <n v="690.1"/>
    <x v="4"/>
    <s v="Cancelled"/>
    <x v="3"/>
  </r>
  <r>
    <s v="ORD10095"/>
    <x v="89"/>
    <x v="1"/>
    <x v="6"/>
    <s v="CUST1013"/>
    <x v="74"/>
    <s v="Female"/>
    <n v="45"/>
    <s v="Bengaluru"/>
    <s v="Karnataka"/>
    <x v="2"/>
    <x v="3"/>
    <s v="Home"/>
    <x v="12"/>
    <n v="2"/>
    <n v="6000"/>
    <n v="5"/>
    <n v="11400"/>
    <n v="1438.77"/>
    <x v="2"/>
    <s v="Completed"/>
    <x v="3"/>
  </r>
  <r>
    <s v="ORD10096"/>
    <x v="32"/>
    <x v="1"/>
    <x v="2"/>
    <s v="CUST1113"/>
    <x v="21"/>
    <s v="Female"/>
    <n v="50"/>
    <s v="Pune"/>
    <s v="Maharashtra"/>
    <x v="0"/>
    <x v="0"/>
    <s v="Gadgets"/>
    <x v="0"/>
    <n v="5"/>
    <n v="12000"/>
    <n v="10"/>
    <n v="54000"/>
    <n v="9077.11"/>
    <x v="0"/>
    <s v="Cancelled"/>
    <x v="1"/>
  </r>
  <r>
    <s v="ORD10097"/>
    <x v="90"/>
    <x v="1"/>
    <x v="11"/>
    <s v="CUST1141"/>
    <x v="2"/>
    <s v="Female"/>
    <n v="49"/>
    <s v="Hyderabad"/>
    <s v="Telangana"/>
    <x v="2"/>
    <x v="2"/>
    <s v="Apparel"/>
    <x v="10"/>
    <n v="5"/>
    <n v="800"/>
    <n v="10"/>
    <n v="3600"/>
    <n v="677.52"/>
    <x v="1"/>
    <s v="Completed"/>
    <x v="3"/>
  </r>
  <r>
    <s v="ORD10098"/>
    <x v="10"/>
    <x v="1"/>
    <x v="1"/>
    <s v="CUST1000"/>
    <x v="75"/>
    <s v="Male"/>
    <n v="43"/>
    <s v="Kolkata"/>
    <s v="West Bengal"/>
    <x v="3"/>
    <x v="1"/>
    <s v="Stationery"/>
    <x v="7"/>
    <n v="2"/>
    <n v="120"/>
    <n v="5"/>
    <n v="228"/>
    <n v="21.88"/>
    <x v="1"/>
    <s v="Completed"/>
    <x v="0"/>
  </r>
  <r>
    <s v="ORD10099"/>
    <x v="91"/>
    <x v="0"/>
    <x v="6"/>
    <s v="CUST1121"/>
    <x v="76"/>
    <s v="Female"/>
    <n v="21"/>
    <s v="Pune"/>
    <s v="Maharashtra"/>
    <x v="0"/>
    <x v="3"/>
    <s v="Home"/>
    <x v="5"/>
    <n v="4"/>
    <n v="9000"/>
    <n v="20"/>
    <n v="28800"/>
    <n v="6077.43"/>
    <x v="1"/>
    <s v="Completed"/>
    <x v="5"/>
  </r>
  <r>
    <s v="ORD10100"/>
    <x v="92"/>
    <x v="0"/>
    <x v="2"/>
    <s v="CUST1085"/>
    <x v="15"/>
    <s v="Female"/>
    <n v="43"/>
    <s v="Bengaluru"/>
    <s v="Karnataka"/>
    <x v="2"/>
    <x v="3"/>
    <s v="Home"/>
    <x v="12"/>
    <n v="1"/>
    <n v="6000"/>
    <n v="20"/>
    <n v="4800"/>
    <n v="1127.51"/>
    <x v="0"/>
    <s v="Completed"/>
    <x v="5"/>
  </r>
  <r>
    <s v="ORD10101"/>
    <x v="93"/>
    <x v="1"/>
    <x v="1"/>
    <s v="CUST1114"/>
    <x v="77"/>
    <s v="Female"/>
    <n v="27"/>
    <s v="Hyderabad"/>
    <s v="Telangana"/>
    <x v="2"/>
    <x v="0"/>
    <s v="Gadgets"/>
    <x v="3"/>
    <n v="5"/>
    <n v="25000"/>
    <n v="20"/>
    <n v="100000"/>
    <n v="19010.3"/>
    <x v="1"/>
    <s v="Completed"/>
    <x v="0"/>
  </r>
  <r>
    <s v="ORD10102"/>
    <x v="94"/>
    <x v="1"/>
    <x v="11"/>
    <s v="CUST1101"/>
    <x v="78"/>
    <s v="Male"/>
    <n v="33"/>
    <s v="Kolkata"/>
    <s v="West Bengal"/>
    <x v="3"/>
    <x v="2"/>
    <s v="Apparel"/>
    <x v="6"/>
    <n v="3"/>
    <n v="3500"/>
    <n v="10"/>
    <n v="9450"/>
    <n v="2004.27"/>
    <x v="1"/>
    <s v="Completed"/>
    <x v="0"/>
  </r>
  <r>
    <s v="ORD10103"/>
    <x v="95"/>
    <x v="0"/>
    <x v="1"/>
    <s v="CUST1114"/>
    <x v="79"/>
    <s v="Male"/>
    <n v="20"/>
    <s v="Kolkata"/>
    <s v="West Bengal"/>
    <x v="3"/>
    <x v="1"/>
    <s v="Stationery"/>
    <x v="7"/>
    <n v="2"/>
    <n v="120"/>
    <n v="15"/>
    <n v="204"/>
    <n v="16.690000000000001"/>
    <x v="4"/>
    <s v="Completed"/>
    <x v="5"/>
  </r>
  <r>
    <s v="ORD10104"/>
    <x v="96"/>
    <x v="1"/>
    <x v="6"/>
    <s v="CUST1026"/>
    <x v="68"/>
    <s v="Male"/>
    <n v="57"/>
    <s v="Kolkata"/>
    <s v="West Bengal"/>
    <x v="3"/>
    <x v="0"/>
    <s v="Gadgets"/>
    <x v="0"/>
    <n v="3"/>
    <n v="12000"/>
    <n v="15"/>
    <n v="30600"/>
    <n v="6611.79"/>
    <x v="1"/>
    <s v="Cancelled"/>
    <x v="3"/>
  </r>
  <r>
    <s v="ORD10105"/>
    <x v="97"/>
    <x v="1"/>
    <x v="1"/>
    <s v="CUST1064"/>
    <x v="80"/>
    <s v="Female"/>
    <n v="54"/>
    <s v="Mumbai"/>
    <s v="Maharashtra"/>
    <x v="0"/>
    <x v="1"/>
    <s v="Stationery"/>
    <x v="7"/>
    <n v="1"/>
    <n v="120"/>
    <n v="5"/>
    <n v="114"/>
    <n v="19.62"/>
    <x v="0"/>
    <s v="Completed"/>
    <x v="1"/>
  </r>
  <r>
    <s v="ORD10106"/>
    <x v="98"/>
    <x v="1"/>
    <x v="5"/>
    <s v="CUST1031"/>
    <x v="81"/>
    <s v="Female"/>
    <n v="22"/>
    <s v="Pune"/>
    <s v="Maharashtra"/>
    <x v="0"/>
    <x v="0"/>
    <s v="Gadgets"/>
    <x v="0"/>
    <n v="3"/>
    <n v="12000"/>
    <n v="15"/>
    <n v="30600"/>
    <n v="5651.37"/>
    <x v="4"/>
    <s v="Completed"/>
    <x v="1"/>
  </r>
  <r>
    <s v="ORD10107"/>
    <x v="99"/>
    <x v="1"/>
    <x v="0"/>
    <s v="CUST1021"/>
    <x v="82"/>
    <s v="Female"/>
    <n v="60"/>
    <s v="Ahmedabad"/>
    <s v="Gujarat"/>
    <x v="0"/>
    <x v="1"/>
    <s v="Stationery"/>
    <x v="2"/>
    <n v="1"/>
    <n v="150"/>
    <n v="20"/>
    <n v="120"/>
    <n v="13.51"/>
    <x v="2"/>
    <s v="Completed"/>
    <x v="5"/>
  </r>
  <r>
    <s v="ORD10108"/>
    <x v="100"/>
    <x v="1"/>
    <x v="9"/>
    <s v="CUST1040"/>
    <x v="83"/>
    <s v="Female"/>
    <n v="57"/>
    <s v="Chennai"/>
    <s v="Tamil Nadu"/>
    <x v="2"/>
    <x v="2"/>
    <s v="Apparel"/>
    <x v="10"/>
    <n v="2"/>
    <n v="800"/>
    <n v="0"/>
    <n v="1600"/>
    <n v="186.05"/>
    <x v="3"/>
    <s v="Completed"/>
    <x v="0"/>
  </r>
  <r>
    <s v="ORD10109"/>
    <x v="101"/>
    <x v="1"/>
    <x v="4"/>
    <s v="CUST1016"/>
    <x v="34"/>
    <s v="Male"/>
    <n v="22"/>
    <s v="Kolkata"/>
    <s v="West Bengal"/>
    <x v="3"/>
    <x v="2"/>
    <s v="Apparel"/>
    <x v="6"/>
    <n v="1"/>
    <n v="3500"/>
    <n v="20"/>
    <n v="2800"/>
    <n v="554.54999999999995"/>
    <x v="4"/>
    <s v="Pending"/>
    <x v="3"/>
  </r>
  <r>
    <s v="ORD10110"/>
    <x v="102"/>
    <x v="1"/>
    <x v="7"/>
    <s v="CUST1082"/>
    <x v="3"/>
    <s v="Male"/>
    <n v="22"/>
    <s v="Hyderabad"/>
    <s v="Telangana"/>
    <x v="2"/>
    <x v="1"/>
    <s v="Stationery"/>
    <x v="11"/>
    <n v="4"/>
    <n v="450"/>
    <n v="5"/>
    <n v="1710"/>
    <n v="290.27"/>
    <x v="1"/>
    <s v="Completed"/>
    <x v="1"/>
  </r>
  <r>
    <s v="ORD10111"/>
    <x v="103"/>
    <x v="0"/>
    <x v="7"/>
    <s v="CUST1042"/>
    <x v="84"/>
    <s v="Male"/>
    <n v="51"/>
    <s v="Chennai"/>
    <s v="Tamil Nadu"/>
    <x v="2"/>
    <x v="2"/>
    <s v="Apparel"/>
    <x v="4"/>
    <n v="2"/>
    <n v="1800"/>
    <n v="10"/>
    <n v="3240"/>
    <n v="814.52"/>
    <x v="4"/>
    <s v="Pending"/>
    <x v="5"/>
  </r>
  <r>
    <s v="ORD10112"/>
    <x v="104"/>
    <x v="1"/>
    <x v="8"/>
    <s v="CUST1085"/>
    <x v="83"/>
    <s v="Female"/>
    <n v="26"/>
    <s v="Pune"/>
    <s v="Maharashtra"/>
    <x v="0"/>
    <x v="1"/>
    <s v="Stationery"/>
    <x v="2"/>
    <n v="3"/>
    <n v="150"/>
    <n v="20"/>
    <n v="360"/>
    <n v="30.33"/>
    <x v="3"/>
    <s v="Cancelled"/>
    <x v="1"/>
  </r>
  <r>
    <s v="ORD10113"/>
    <x v="80"/>
    <x v="0"/>
    <x v="5"/>
    <s v="CUST1008"/>
    <x v="85"/>
    <s v="Male"/>
    <n v="37"/>
    <s v="Mumbai"/>
    <s v="Maharashtra"/>
    <x v="0"/>
    <x v="3"/>
    <s v="Home"/>
    <x v="12"/>
    <n v="5"/>
    <n v="6000"/>
    <n v="5"/>
    <n v="28500"/>
    <n v="4452.68"/>
    <x v="3"/>
    <s v="Completed"/>
    <x v="5"/>
  </r>
  <r>
    <s v="ORD10114"/>
    <x v="105"/>
    <x v="1"/>
    <x v="3"/>
    <s v="CUST1001"/>
    <x v="86"/>
    <s v="Female"/>
    <n v="30"/>
    <s v="Pune"/>
    <s v="Maharashtra"/>
    <x v="0"/>
    <x v="3"/>
    <s v="Home"/>
    <x v="8"/>
    <n v="5"/>
    <n v="7000"/>
    <n v="5"/>
    <n v="33250"/>
    <n v="5689.84"/>
    <x v="1"/>
    <s v="Cancelled"/>
    <x v="4"/>
  </r>
  <r>
    <s v="ORD10115"/>
    <x v="106"/>
    <x v="0"/>
    <x v="6"/>
    <s v="CUST1129"/>
    <x v="22"/>
    <s v="Male"/>
    <n v="44"/>
    <s v="Ahmedabad"/>
    <s v="Gujarat"/>
    <x v="0"/>
    <x v="2"/>
    <s v="Apparel"/>
    <x v="4"/>
    <n v="4"/>
    <n v="1800"/>
    <n v="0"/>
    <n v="7200"/>
    <n v="1182.3399999999999"/>
    <x v="0"/>
    <s v="Completed"/>
    <x v="5"/>
  </r>
  <r>
    <s v="ORD10116"/>
    <x v="107"/>
    <x v="0"/>
    <x v="6"/>
    <s v="CUST1143"/>
    <x v="58"/>
    <s v="Female"/>
    <n v="38"/>
    <s v="Pune"/>
    <s v="Maharashtra"/>
    <x v="0"/>
    <x v="0"/>
    <s v="Gadgets"/>
    <x v="0"/>
    <n v="4"/>
    <n v="12000"/>
    <n v="0"/>
    <n v="48000"/>
    <n v="11371.15"/>
    <x v="3"/>
    <s v="Cancelled"/>
    <x v="1"/>
  </r>
  <r>
    <s v="ORD10117"/>
    <x v="108"/>
    <x v="1"/>
    <x v="8"/>
    <s v="CUST1127"/>
    <x v="87"/>
    <s v="Male"/>
    <n v="39"/>
    <s v="Pune"/>
    <s v="Maharashtra"/>
    <x v="0"/>
    <x v="3"/>
    <s v="Home"/>
    <x v="5"/>
    <n v="1"/>
    <n v="9000"/>
    <n v="20"/>
    <n v="7200"/>
    <n v="1857.52"/>
    <x v="0"/>
    <s v="Completed"/>
    <x v="2"/>
  </r>
  <r>
    <s v="ORD10118"/>
    <x v="109"/>
    <x v="1"/>
    <x v="7"/>
    <s v="CUST1010"/>
    <x v="88"/>
    <s v="Male"/>
    <n v="53"/>
    <s v="Ahmedabad"/>
    <s v="Gujarat"/>
    <x v="0"/>
    <x v="2"/>
    <s v="Apparel"/>
    <x v="4"/>
    <n v="2"/>
    <n v="1800"/>
    <n v="5"/>
    <n v="3420"/>
    <n v="525.91999999999996"/>
    <x v="1"/>
    <s v="Completed"/>
    <x v="0"/>
  </r>
  <r>
    <s v="ORD10119"/>
    <x v="110"/>
    <x v="0"/>
    <x v="6"/>
    <s v="CUST1034"/>
    <x v="36"/>
    <s v="Female"/>
    <n v="31"/>
    <s v="Mumbai"/>
    <s v="Maharashtra"/>
    <x v="0"/>
    <x v="1"/>
    <s v="Stationery"/>
    <x v="7"/>
    <n v="2"/>
    <n v="120"/>
    <n v="20"/>
    <n v="192"/>
    <n v="45.54"/>
    <x v="3"/>
    <s v="Cancelled"/>
    <x v="2"/>
  </r>
  <r>
    <s v="ORD10120"/>
    <x v="111"/>
    <x v="1"/>
    <x v="6"/>
    <s v="CUST1068"/>
    <x v="21"/>
    <s v="Male"/>
    <n v="53"/>
    <s v="Chennai"/>
    <s v="Tamil Nadu"/>
    <x v="2"/>
    <x v="3"/>
    <s v="Home"/>
    <x v="8"/>
    <n v="1"/>
    <n v="7000"/>
    <n v="15"/>
    <n v="5950"/>
    <n v="692.2"/>
    <x v="1"/>
    <s v="Completed"/>
    <x v="1"/>
  </r>
  <r>
    <s v="ORD10121"/>
    <x v="112"/>
    <x v="0"/>
    <x v="5"/>
    <s v="CUST1092"/>
    <x v="89"/>
    <s v="Male"/>
    <n v="39"/>
    <s v="Bengaluru"/>
    <s v="Karnataka"/>
    <x v="2"/>
    <x v="0"/>
    <s v="Gadgets"/>
    <x v="9"/>
    <n v="5"/>
    <n v="65000"/>
    <n v="15"/>
    <n v="276250"/>
    <n v="54063.82"/>
    <x v="0"/>
    <s v="Cancelled"/>
    <x v="1"/>
  </r>
  <r>
    <s v="ORD10122"/>
    <x v="96"/>
    <x v="1"/>
    <x v="6"/>
    <s v="CUST1124"/>
    <x v="32"/>
    <s v="Female"/>
    <n v="25"/>
    <s v="Delhi"/>
    <s v="Delhi"/>
    <x v="1"/>
    <x v="1"/>
    <s v="Stationery"/>
    <x v="11"/>
    <n v="1"/>
    <n v="450"/>
    <n v="20"/>
    <n v="360"/>
    <n v="43.26"/>
    <x v="0"/>
    <s v="Completed"/>
    <x v="0"/>
  </r>
  <r>
    <s v="ORD10123"/>
    <x v="15"/>
    <x v="1"/>
    <x v="0"/>
    <s v="CUST1033"/>
    <x v="45"/>
    <s v="Female"/>
    <n v="55"/>
    <s v="Chennai"/>
    <s v="Tamil Nadu"/>
    <x v="2"/>
    <x v="2"/>
    <s v="Apparel"/>
    <x v="6"/>
    <n v="5"/>
    <n v="3500"/>
    <n v="0"/>
    <n v="17500"/>
    <n v="1753.15"/>
    <x v="0"/>
    <s v="Cancelled"/>
    <x v="1"/>
  </r>
  <r>
    <s v="ORD10124"/>
    <x v="113"/>
    <x v="1"/>
    <x v="5"/>
    <s v="CUST1007"/>
    <x v="90"/>
    <s v="Female"/>
    <n v="26"/>
    <s v="Delhi"/>
    <s v="Delhi"/>
    <x v="1"/>
    <x v="1"/>
    <s v="Stationery"/>
    <x v="2"/>
    <n v="5"/>
    <n v="150"/>
    <n v="0"/>
    <n v="750"/>
    <n v="185.89"/>
    <x v="4"/>
    <s v="Completed"/>
    <x v="3"/>
  </r>
  <r>
    <s v="ORD10125"/>
    <x v="114"/>
    <x v="1"/>
    <x v="4"/>
    <s v="CUST1104"/>
    <x v="2"/>
    <s v="Male"/>
    <n v="45"/>
    <s v="Ahmedabad"/>
    <s v="Gujarat"/>
    <x v="0"/>
    <x v="3"/>
    <s v="Home"/>
    <x v="8"/>
    <n v="3"/>
    <n v="7000"/>
    <n v="0"/>
    <n v="21000"/>
    <n v="2981.68"/>
    <x v="1"/>
    <s v="Completed"/>
    <x v="2"/>
  </r>
  <r>
    <s v="ORD10126"/>
    <x v="8"/>
    <x v="0"/>
    <x v="2"/>
    <s v="CUST1095"/>
    <x v="91"/>
    <s v="Female"/>
    <n v="52"/>
    <s v="Kolkata"/>
    <s v="West Bengal"/>
    <x v="3"/>
    <x v="1"/>
    <s v="Stationery"/>
    <x v="2"/>
    <n v="1"/>
    <n v="150"/>
    <n v="10"/>
    <n v="135"/>
    <n v="34.22"/>
    <x v="2"/>
    <s v="Completed"/>
    <x v="5"/>
  </r>
  <r>
    <s v="ORD10127"/>
    <x v="115"/>
    <x v="1"/>
    <x v="11"/>
    <s v="CUST1106"/>
    <x v="92"/>
    <s v="Female"/>
    <n v="49"/>
    <s v="Pune"/>
    <s v="Maharashtra"/>
    <x v="0"/>
    <x v="2"/>
    <s v="Apparel"/>
    <x v="4"/>
    <n v="1"/>
    <n v="1800"/>
    <n v="5"/>
    <n v="1710"/>
    <n v="346.46"/>
    <x v="0"/>
    <s v="Cancelled"/>
    <x v="1"/>
  </r>
  <r>
    <s v="ORD10128"/>
    <x v="58"/>
    <x v="1"/>
    <x v="10"/>
    <s v="CUST1140"/>
    <x v="38"/>
    <s v="Female"/>
    <n v="24"/>
    <s v="Mumbai"/>
    <s v="Maharashtra"/>
    <x v="0"/>
    <x v="1"/>
    <s v="Stationery"/>
    <x v="2"/>
    <n v="5"/>
    <n v="150"/>
    <n v="0"/>
    <n v="750"/>
    <n v="206.75"/>
    <x v="4"/>
    <s v="Pending"/>
    <x v="3"/>
  </r>
  <r>
    <s v="ORD10129"/>
    <x v="116"/>
    <x v="0"/>
    <x v="7"/>
    <s v="CUST1032"/>
    <x v="1"/>
    <s v="Female"/>
    <n v="33"/>
    <s v="Hyderabad"/>
    <s v="Telangana"/>
    <x v="2"/>
    <x v="1"/>
    <s v="Stationery"/>
    <x v="2"/>
    <n v="3"/>
    <n v="150"/>
    <n v="20"/>
    <n v="360"/>
    <n v="94.11"/>
    <x v="0"/>
    <s v="Cancelled"/>
    <x v="1"/>
  </r>
  <r>
    <s v="ORD10130"/>
    <x v="77"/>
    <x v="0"/>
    <x v="7"/>
    <s v="CUST1140"/>
    <x v="93"/>
    <s v="Male"/>
    <n v="22"/>
    <s v="Mumbai"/>
    <s v="Maharashtra"/>
    <x v="0"/>
    <x v="2"/>
    <s v="Apparel"/>
    <x v="4"/>
    <n v="4"/>
    <n v="1800"/>
    <n v="20"/>
    <n v="5760"/>
    <n v="1021.76"/>
    <x v="2"/>
    <s v="Completed"/>
    <x v="2"/>
  </r>
  <r>
    <s v="ORD10131"/>
    <x v="117"/>
    <x v="1"/>
    <x v="8"/>
    <s v="CUST1062"/>
    <x v="94"/>
    <s v="Male"/>
    <n v="42"/>
    <s v="Hyderabad"/>
    <s v="Telangana"/>
    <x v="2"/>
    <x v="2"/>
    <s v="Apparel"/>
    <x v="10"/>
    <n v="3"/>
    <n v="800"/>
    <n v="15"/>
    <n v="2040"/>
    <n v="359.33"/>
    <x v="2"/>
    <s v="Completed"/>
    <x v="4"/>
  </r>
  <r>
    <s v="ORD10132"/>
    <x v="118"/>
    <x v="0"/>
    <x v="6"/>
    <s v="CUST1138"/>
    <x v="3"/>
    <s v="Female"/>
    <n v="58"/>
    <s v="Delhi"/>
    <s v="Delhi"/>
    <x v="1"/>
    <x v="0"/>
    <s v="Gadgets"/>
    <x v="3"/>
    <n v="1"/>
    <n v="25000"/>
    <n v="10"/>
    <n v="22500"/>
    <n v="2898.33"/>
    <x v="3"/>
    <s v="Completed"/>
    <x v="1"/>
  </r>
  <r>
    <s v="ORD10133"/>
    <x v="119"/>
    <x v="0"/>
    <x v="7"/>
    <s v="CUST1012"/>
    <x v="53"/>
    <s v="Female"/>
    <n v="24"/>
    <s v="Ahmedabad"/>
    <s v="Gujarat"/>
    <x v="0"/>
    <x v="0"/>
    <s v="Gadgets"/>
    <x v="0"/>
    <n v="5"/>
    <n v="12000"/>
    <n v="20"/>
    <n v="48000"/>
    <n v="12490.08"/>
    <x v="4"/>
    <s v="Pending"/>
    <x v="4"/>
  </r>
  <r>
    <s v="ORD10134"/>
    <x v="120"/>
    <x v="1"/>
    <x v="1"/>
    <s v="CUST1016"/>
    <x v="95"/>
    <s v="Male"/>
    <n v="37"/>
    <s v="Kolkata"/>
    <s v="West Bengal"/>
    <x v="3"/>
    <x v="3"/>
    <s v="Home"/>
    <x v="12"/>
    <n v="4"/>
    <n v="6000"/>
    <n v="10"/>
    <n v="21600"/>
    <n v="3080.43"/>
    <x v="1"/>
    <s v="Completed"/>
    <x v="4"/>
  </r>
  <r>
    <s v="ORD10135"/>
    <x v="107"/>
    <x v="0"/>
    <x v="6"/>
    <s v="CUST1046"/>
    <x v="96"/>
    <s v="Male"/>
    <n v="58"/>
    <s v="Bengaluru"/>
    <s v="Karnataka"/>
    <x v="2"/>
    <x v="1"/>
    <s v="Stationery"/>
    <x v="2"/>
    <n v="2"/>
    <n v="150"/>
    <n v="0"/>
    <n v="300"/>
    <n v="78.599999999999994"/>
    <x v="3"/>
    <s v="Completed"/>
    <x v="2"/>
  </r>
  <r>
    <s v="ORD10136"/>
    <x v="121"/>
    <x v="0"/>
    <x v="0"/>
    <s v="CUST1002"/>
    <x v="47"/>
    <s v="Male"/>
    <n v="42"/>
    <s v="Pune"/>
    <s v="Maharashtra"/>
    <x v="0"/>
    <x v="3"/>
    <s v="Home"/>
    <x v="12"/>
    <n v="2"/>
    <n v="6000"/>
    <n v="0"/>
    <n v="12000"/>
    <n v="2647.04"/>
    <x v="4"/>
    <s v="Pending"/>
    <x v="3"/>
  </r>
  <r>
    <s v="ORD10137"/>
    <x v="122"/>
    <x v="1"/>
    <x v="9"/>
    <s v="CUST1097"/>
    <x v="62"/>
    <s v="Male"/>
    <n v="58"/>
    <s v="Ahmedabad"/>
    <s v="Gujarat"/>
    <x v="0"/>
    <x v="3"/>
    <s v="Home"/>
    <x v="12"/>
    <n v="4"/>
    <n v="6000"/>
    <n v="0"/>
    <n v="24000"/>
    <n v="5302.83"/>
    <x v="1"/>
    <s v="Completed"/>
    <x v="5"/>
  </r>
  <r>
    <s v="ORD10138"/>
    <x v="123"/>
    <x v="1"/>
    <x v="8"/>
    <s v="CUST1130"/>
    <x v="97"/>
    <s v="Female"/>
    <n v="27"/>
    <s v="Kolkata"/>
    <s v="West Bengal"/>
    <x v="3"/>
    <x v="1"/>
    <s v="Stationery"/>
    <x v="7"/>
    <n v="1"/>
    <n v="120"/>
    <n v="10"/>
    <n v="108"/>
    <n v="13.9"/>
    <x v="3"/>
    <s v="Completed"/>
    <x v="2"/>
  </r>
  <r>
    <s v="ORD10139"/>
    <x v="124"/>
    <x v="1"/>
    <x v="3"/>
    <s v="CUST1116"/>
    <x v="98"/>
    <s v="Female"/>
    <n v="44"/>
    <s v="Bengaluru"/>
    <s v="Karnataka"/>
    <x v="2"/>
    <x v="2"/>
    <s v="Apparel"/>
    <x v="6"/>
    <n v="1"/>
    <n v="3500"/>
    <n v="15"/>
    <n v="2975"/>
    <n v="380.63"/>
    <x v="2"/>
    <s v="Pending"/>
    <x v="1"/>
  </r>
  <r>
    <s v="ORD10140"/>
    <x v="125"/>
    <x v="1"/>
    <x v="4"/>
    <s v="CUST1048"/>
    <x v="46"/>
    <s v="Male"/>
    <n v="51"/>
    <s v="Bengaluru"/>
    <s v="Karnataka"/>
    <x v="2"/>
    <x v="3"/>
    <s v="Home"/>
    <x v="12"/>
    <n v="1"/>
    <n v="6000"/>
    <n v="5"/>
    <n v="5700"/>
    <n v="1018.88"/>
    <x v="2"/>
    <s v="Cancelled"/>
    <x v="3"/>
  </r>
  <r>
    <s v="ORD10141"/>
    <x v="126"/>
    <x v="1"/>
    <x v="8"/>
    <s v="CUST1006"/>
    <x v="37"/>
    <s v="Female"/>
    <n v="34"/>
    <s v="Bengaluru"/>
    <s v="Karnataka"/>
    <x v="2"/>
    <x v="2"/>
    <s v="Apparel"/>
    <x v="6"/>
    <n v="4"/>
    <n v="3500"/>
    <n v="20"/>
    <n v="11200"/>
    <n v="2583.48"/>
    <x v="1"/>
    <s v="Completed"/>
    <x v="3"/>
  </r>
  <r>
    <s v="ORD10142"/>
    <x v="37"/>
    <x v="0"/>
    <x v="1"/>
    <s v="CUST1147"/>
    <x v="45"/>
    <s v="Male"/>
    <n v="47"/>
    <s v="Ahmedabad"/>
    <s v="Gujarat"/>
    <x v="0"/>
    <x v="0"/>
    <s v="Gadgets"/>
    <x v="9"/>
    <n v="3"/>
    <n v="65000"/>
    <n v="15"/>
    <n v="165750"/>
    <n v="30588.31"/>
    <x v="1"/>
    <s v="Completed"/>
    <x v="3"/>
  </r>
  <r>
    <s v="ORD10143"/>
    <x v="127"/>
    <x v="0"/>
    <x v="5"/>
    <s v="CUST1106"/>
    <x v="99"/>
    <s v="Male"/>
    <n v="42"/>
    <s v="Chennai"/>
    <s v="Tamil Nadu"/>
    <x v="2"/>
    <x v="0"/>
    <s v="Gadgets"/>
    <x v="0"/>
    <n v="4"/>
    <n v="12000"/>
    <n v="15"/>
    <n v="40800"/>
    <n v="6245.5"/>
    <x v="2"/>
    <s v="Completed"/>
    <x v="3"/>
  </r>
  <r>
    <s v="ORD10144"/>
    <x v="128"/>
    <x v="0"/>
    <x v="2"/>
    <s v="CUST1038"/>
    <x v="23"/>
    <s v="Male"/>
    <n v="58"/>
    <s v="Delhi"/>
    <s v="Delhi"/>
    <x v="1"/>
    <x v="0"/>
    <s v="Gadgets"/>
    <x v="9"/>
    <n v="2"/>
    <n v="65000"/>
    <n v="0"/>
    <n v="130000"/>
    <n v="17868.13"/>
    <x v="4"/>
    <s v="Completed"/>
    <x v="5"/>
  </r>
  <r>
    <s v="ORD10145"/>
    <x v="129"/>
    <x v="0"/>
    <x v="0"/>
    <s v="CUST1119"/>
    <x v="100"/>
    <s v="Female"/>
    <n v="27"/>
    <s v="Mumbai"/>
    <s v="Maharashtra"/>
    <x v="0"/>
    <x v="0"/>
    <s v="Gadgets"/>
    <x v="9"/>
    <n v="2"/>
    <n v="65000"/>
    <n v="10"/>
    <n v="117000"/>
    <n v="10978.6"/>
    <x v="1"/>
    <s v="Cancelled"/>
    <x v="2"/>
  </r>
  <r>
    <s v="ORD10146"/>
    <x v="130"/>
    <x v="1"/>
    <x v="5"/>
    <s v="CUST1086"/>
    <x v="101"/>
    <s v="Female"/>
    <n v="55"/>
    <s v="Bengaluru"/>
    <s v="Karnataka"/>
    <x v="2"/>
    <x v="2"/>
    <s v="Apparel"/>
    <x v="6"/>
    <n v="5"/>
    <n v="3500"/>
    <n v="10"/>
    <n v="15750"/>
    <n v="2526.29"/>
    <x v="2"/>
    <s v="Completed"/>
    <x v="3"/>
  </r>
  <r>
    <s v="ORD10147"/>
    <x v="131"/>
    <x v="0"/>
    <x v="5"/>
    <s v="CUST1142"/>
    <x v="80"/>
    <s v="Female"/>
    <n v="48"/>
    <s v="Chennai"/>
    <s v="Tamil Nadu"/>
    <x v="2"/>
    <x v="2"/>
    <s v="Apparel"/>
    <x v="10"/>
    <n v="1"/>
    <n v="800"/>
    <n v="5"/>
    <n v="760"/>
    <n v="156.13"/>
    <x v="1"/>
    <s v="Cancelled"/>
    <x v="0"/>
  </r>
  <r>
    <s v="ORD10148"/>
    <x v="132"/>
    <x v="0"/>
    <x v="1"/>
    <s v="CUST1054"/>
    <x v="77"/>
    <s v="Female"/>
    <n v="60"/>
    <s v="Kolkata"/>
    <s v="West Bengal"/>
    <x v="3"/>
    <x v="3"/>
    <s v="Home"/>
    <x v="5"/>
    <n v="1"/>
    <n v="9000"/>
    <n v="10"/>
    <n v="8100"/>
    <n v="743.42"/>
    <x v="0"/>
    <s v="Pending"/>
    <x v="4"/>
  </r>
  <r>
    <s v="ORD10149"/>
    <x v="133"/>
    <x v="1"/>
    <x v="5"/>
    <s v="CUST1012"/>
    <x v="62"/>
    <s v="Male"/>
    <n v="26"/>
    <s v="Delhi"/>
    <s v="Delhi"/>
    <x v="1"/>
    <x v="1"/>
    <s v="Stationery"/>
    <x v="2"/>
    <n v="4"/>
    <n v="150"/>
    <n v="5"/>
    <n v="570"/>
    <n v="150.75"/>
    <x v="4"/>
    <s v="Completed"/>
    <x v="1"/>
  </r>
  <r>
    <s v="ORD10150"/>
    <x v="105"/>
    <x v="1"/>
    <x v="3"/>
    <s v="CUST1084"/>
    <x v="102"/>
    <s v="Female"/>
    <n v="59"/>
    <s v="Ahmedabad"/>
    <s v="Gujarat"/>
    <x v="0"/>
    <x v="1"/>
    <s v="Stationery"/>
    <x v="2"/>
    <n v="1"/>
    <n v="150"/>
    <n v="10"/>
    <n v="135"/>
    <n v="32.450000000000003"/>
    <x v="2"/>
    <s v="Completed"/>
    <x v="3"/>
  </r>
  <r>
    <s v="ORD10151"/>
    <x v="134"/>
    <x v="1"/>
    <x v="6"/>
    <s v="CUST1138"/>
    <x v="88"/>
    <s v="Female"/>
    <n v="60"/>
    <s v="Hyderabad"/>
    <s v="Telangana"/>
    <x v="2"/>
    <x v="0"/>
    <s v="Gadgets"/>
    <x v="1"/>
    <n v="2"/>
    <n v="2500"/>
    <n v="20"/>
    <n v="4000"/>
    <n v="719.25"/>
    <x v="3"/>
    <s v="Completed"/>
    <x v="2"/>
  </r>
  <r>
    <s v="ORD10152"/>
    <x v="135"/>
    <x v="1"/>
    <x v="10"/>
    <s v="CUST1142"/>
    <x v="103"/>
    <s v="Female"/>
    <n v="27"/>
    <s v="Bengaluru"/>
    <s v="Karnataka"/>
    <x v="2"/>
    <x v="2"/>
    <s v="Apparel"/>
    <x v="10"/>
    <n v="4"/>
    <n v="800"/>
    <n v="15"/>
    <n v="2720"/>
    <n v="701.29"/>
    <x v="3"/>
    <s v="Completed"/>
    <x v="0"/>
  </r>
  <r>
    <s v="ORD10153"/>
    <x v="136"/>
    <x v="0"/>
    <x v="6"/>
    <s v="CUST1023"/>
    <x v="104"/>
    <s v="Female"/>
    <n v="35"/>
    <s v="Delhi"/>
    <s v="Delhi"/>
    <x v="1"/>
    <x v="3"/>
    <s v="Home"/>
    <x v="12"/>
    <n v="4"/>
    <n v="6000"/>
    <n v="20"/>
    <n v="19200"/>
    <n v="3883.23"/>
    <x v="0"/>
    <s v="Pending"/>
    <x v="4"/>
  </r>
  <r>
    <s v="ORD10154"/>
    <x v="109"/>
    <x v="1"/>
    <x v="7"/>
    <s v="CUST1035"/>
    <x v="33"/>
    <s v="Female"/>
    <n v="44"/>
    <s v="Kolkata"/>
    <s v="West Bengal"/>
    <x v="3"/>
    <x v="3"/>
    <s v="Home"/>
    <x v="5"/>
    <n v="5"/>
    <n v="9000"/>
    <n v="20"/>
    <n v="36000"/>
    <n v="4396.8500000000004"/>
    <x v="1"/>
    <s v="Cancelled"/>
    <x v="1"/>
  </r>
  <r>
    <s v="ORD10155"/>
    <x v="96"/>
    <x v="1"/>
    <x v="6"/>
    <s v="CUST1149"/>
    <x v="105"/>
    <s v="Female"/>
    <n v="38"/>
    <s v="Bengaluru"/>
    <s v="Karnataka"/>
    <x v="2"/>
    <x v="2"/>
    <s v="Apparel"/>
    <x v="6"/>
    <n v="1"/>
    <n v="3500"/>
    <n v="0"/>
    <n v="3500"/>
    <n v="968.4"/>
    <x v="0"/>
    <s v="Completed"/>
    <x v="1"/>
  </r>
  <r>
    <s v="ORD10156"/>
    <x v="137"/>
    <x v="1"/>
    <x v="4"/>
    <s v="CUST1110"/>
    <x v="106"/>
    <s v="Female"/>
    <n v="25"/>
    <s v="Chennai"/>
    <s v="Tamil Nadu"/>
    <x v="2"/>
    <x v="3"/>
    <s v="Home"/>
    <x v="5"/>
    <n v="2"/>
    <n v="9000"/>
    <n v="15"/>
    <n v="15300"/>
    <n v="2962.96"/>
    <x v="4"/>
    <s v="Completed"/>
    <x v="0"/>
  </r>
  <r>
    <s v="ORD10157"/>
    <x v="66"/>
    <x v="0"/>
    <x v="2"/>
    <s v="CUST1069"/>
    <x v="46"/>
    <s v="Female"/>
    <n v="59"/>
    <s v="Hyderabad"/>
    <s v="Telangana"/>
    <x v="2"/>
    <x v="3"/>
    <s v="Home"/>
    <x v="8"/>
    <n v="5"/>
    <n v="7000"/>
    <n v="5"/>
    <n v="33250"/>
    <n v="6120.08"/>
    <x v="4"/>
    <s v="Completed"/>
    <x v="3"/>
  </r>
  <r>
    <s v="ORD10158"/>
    <x v="138"/>
    <x v="1"/>
    <x v="11"/>
    <s v="CUST1052"/>
    <x v="107"/>
    <s v="Female"/>
    <n v="22"/>
    <s v="Ahmedabad"/>
    <s v="Gujarat"/>
    <x v="0"/>
    <x v="1"/>
    <s v="Stationery"/>
    <x v="7"/>
    <n v="2"/>
    <n v="120"/>
    <n v="5"/>
    <n v="228"/>
    <n v="63.69"/>
    <x v="4"/>
    <s v="Completed"/>
    <x v="3"/>
  </r>
  <r>
    <s v="ORD10159"/>
    <x v="139"/>
    <x v="1"/>
    <x v="2"/>
    <s v="CUST1143"/>
    <x v="108"/>
    <s v="Female"/>
    <n v="31"/>
    <s v="Ahmedabad"/>
    <s v="Gujarat"/>
    <x v="0"/>
    <x v="2"/>
    <s v="Apparel"/>
    <x v="4"/>
    <n v="4"/>
    <n v="1800"/>
    <n v="20"/>
    <n v="5760"/>
    <n v="1145.42"/>
    <x v="4"/>
    <s v="Cancelled"/>
    <x v="5"/>
  </r>
  <r>
    <s v="ORD10160"/>
    <x v="140"/>
    <x v="0"/>
    <x v="5"/>
    <s v="CUST1029"/>
    <x v="101"/>
    <s v="Female"/>
    <n v="30"/>
    <s v="Pune"/>
    <s v="Maharashtra"/>
    <x v="0"/>
    <x v="1"/>
    <s v="Stationery"/>
    <x v="7"/>
    <n v="4"/>
    <n v="120"/>
    <n v="10"/>
    <n v="432"/>
    <n v="58.78"/>
    <x v="0"/>
    <s v="Completed"/>
    <x v="0"/>
  </r>
  <r>
    <s v="ORD10161"/>
    <x v="90"/>
    <x v="1"/>
    <x v="11"/>
    <s v="CUST1068"/>
    <x v="109"/>
    <s v="Female"/>
    <n v="24"/>
    <s v="Delhi"/>
    <s v="Delhi"/>
    <x v="1"/>
    <x v="2"/>
    <s v="Apparel"/>
    <x v="10"/>
    <n v="4"/>
    <n v="800"/>
    <n v="15"/>
    <n v="2720"/>
    <n v="252.57"/>
    <x v="3"/>
    <s v="Cancelled"/>
    <x v="4"/>
  </r>
  <r>
    <s v="ORD10162"/>
    <x v="141"/>
    <x v="1"/>
    <x v="2"/>
    <s v="CUST1150"/>
    <x v="110"/>
    <s v="Female"/>
    <n v="43"/>
    <s v="Pune"/>
    <s v="Maharashtra"/>
    <x v="0"/>
    <x v="3"/>
    <s v="Home"/>
    <x v="5"/>
    <n v="4"/>
    <n v="9000"/>
    <n v="0"/>
    <n v="36000"/>
    <n v="8713.14"/>
    <x v="1"/>
    <s v="Pending"/>
    <x v="5"/>
  </r>
  <r>
    <s v="ORD10163"/>
    <x v="142"/>
    <x v="1"/>
    <x v="7"/>
    <s v="CUST1047"/>
    <x v="53"/>
    <s v="Male"/>
    <n v="44"/>
    <s v="Pune"/>
    <s v="Maharashtra"/>
    <x v="0"/>
    <x v="2"/>
    <s v="Apparel"/>
    <x v="10"/>
    <n v="3"/>
    <n v="800"/>
    <n v="5"/>
    <n v="2280"/>
    <n v="203.13"/>
    <x v="2"/>
    <s v="Pending"/>
    <x v="1"/>
  </r>
  <r>
    <s v="ORD10164"/>
    <x v="101"/>
    <x v="1"/>
    <x v="4"/>
    <s v="CUST1149"/>
    <x v="111"/>
    <s v="Male"/>
    <n v="54"/>
    <s v="Mumbai"/>
    <s v="Maharashtra"/>
    <x v="0"/>
    <x v="1"/>
    <s v="Stationery"/>
    <x v="2"/>
    <n v="2"/>
    <n v="150"/>
    <n v="20"/>
    <n v="240"/>
    <n v="35.880000000000003"/>
    <x v="4"/>
    <s v="Completed"/>
    <x v="2"/>
  </r>
  <r>
    <s v="ORD10165"/>
    <x v="143"/>
    <x v="0"/>
    <x v="6"/>
    <s v="CUST1021"/>
    <x v="35"/>
    <s v="Female"/>
    <n v="42"/>
    <s v="Pune"/>
    <s v="Maharashtra"/>
    <x v="0"/>
    <x v="2"/>
    <s v="Apparel"/>
    <x v="4"/>
    <n v="5"/>
    <n v="1800"/>
    <n v="15"/>
    <n v="7650"/>
    <n v="2000.19"/>
    <x v="3"/>
    <s v="Completed"/>
    <x v="0"/>
  </r>
  <r>
    <s v="ORD10166"/>
    <x v="144"/>
    <x v="1"/>
    <x v="5"/>
    <s v="CUST1063"/>
    <x v="112"/>
    <s v="Male"/>
    <n v="39"/>
    <s v="Hyderabad"/>
    <s v="Telangana"/>
    <x v="2"/>
    <x v="1"/>
    <s v="Stationery"/>
    <x v="11"/>
    <n v="1"/>
    <n v="450"/>
    <n v="5"/>
    <n v="427.5"/>
    <n v="90.55"/>
    <x v="0"/>
    <s v="Completed"/>
    <x v="3"/>
  </r>
  <r>
    <s v="ORD10167"/>
    <x v="145"/>
    <x v="1"/>
    <x v="8"/>
    <s v="CUST1111"/>
    <x v="18"/>
    <s v="Female"/>
    <n v="22"/>
    <s v="Delhi"/>
    <s v="Delhi"/>
    <x v="1"/>
    <x v="1"/>
    <s v="Stationery"/>
    <x v="11"/>
    <n v="1"/>
    <n v="450"/>
    <n v="10"/>
    <n v="405"/>
    <n v="95.41"/>
    <x v="3"/>
    <s v="Cancelled"/>
    <x v="5"/>
  </r>
  <r>
    <s v="ORD10168"/>
    <x v="146"/>
    <x v="0"/>
    <x v="0"/>
    <s v="CUST1090"/>
    <x v="113"/>
    <s v="Female"/>
    <n v="55"/>
    <s v="Hyderabad"/>
    <s v="Telangana"/>
    <x v="2"/>
    <x v="0"/>
    <s v="Gadgets"/>
    <x v="3"/>
    <n v="3"/>
    <n v="25000"/>
    <n v="0"/>
    <n v="75000"/>
    <n v="19695.669999999998"/>
    <x v="4"/>
    <s v="Cancelled"/>
    <x v="1"/>
  </r>
  <r>
    <s v="ORD10169"/>
    <x v="147"/>
    <x v="1"/>
    <x v="3"/>
    <s v="CUST1047"/>
    <x v="77"/>
    <s v="Female"/>
    <n v="47"/>
    <s v="Chennai"/>
    <s v="Tamil Nadu"/>
    <x v="2"/>
    <x v="0"/>
    <s v="Gadgets"/>
    <x v="9"/>
    <n v="1"/>
    <n v="65000"/>
    <n v="5"/>
    <n v="61750"/>
    <n v="10880.23"/>
    <x v="1"/>
    <s v="Completed"/>
    <x v="5"/>
  </r>
  <r>
    <s v="ORD10170"/>
    <x v="107"/>
    <x v="0"/>
    <x v="6"/>
    <s v="CUST1088"/>
    <x v="53"/>
    <s v="Male"/>
    <n v="36"/>
    <s v="Mumbai"/>
    <s v="Maharashtra"/>
    <x v="0"/>
    <x v="3"/>
    <s v="Home"/>
    <x v="8"/>
    <n v="5"/>
    <n v="7000"/>
    <n v="10"/>
    <n v="31500"/>
    <n v="2797.38"/>
    <x v="0"/>
    <s v="Completed"/>
    <x v="5"/>
  </r>
  <r>
    <s v="ORD10171"/>
    <x v="141"/>
    <x v="1"/>
    <x v="2"/>
    <s v="CUST1038"/>
    <x v="79"/>
    <s v="Female"/>
    <n v="25"/>
    <s v="Ahmedabad"/>
    <s v="Gujarat"/>
    <x v="0"/>
    <x v="1"/>
    <s v="Stationery"/>
    <x v="7"/>
    <n v="3"/>
    <n v="120"/>
    <n v="20"/>
    <n v="288"/>
    <n v="63.66"/>
    <x v="3"/>
    <s v="Pending"/>
    <x v="5"/>
  </r>
  <r>
    <s v="ORD10172"/>
    <x v="109"/>
    <x v="1"/>
    <x v="7"/>
    <s v="CUST1133"/>
    <x v="78"/>
    <s v="Female"/>
    <n v="42"/>
    <s v="Hyderabad"/>
    <s v="Telangana"/>
    <x v="2"/>
    <x v="2"/>
    <s v="Apparel"/>
    <x v="4"/>
    <n v="5"/>
    <n v="1800"/>
    <n v="20"/>
    <n v="7200"/>
    <n v="1054.08"/>
    <x v="4"/>
    <s v="Completed"/>
    <x v="3"/>
  </r>
  <r>
    <s v="ORD10173"/>
    <x v="135"/>
    <x v="1"/>
    <x v="10"/>
    <s v="CUST1023"/>
    <x v="30"/>
    <s v="Male"/>
    <n v="54"/>
    <s v="Delhi"/>
    <s v="Delhi"/>
    <x v="1"/>
    <x v="0"/>
    <s v="Gadgets"/>
    <x v="3"/>
    <n v="5"/>
    <n v="25000"/>
    <n v="10"/>
    <n v="112500"/>
    <n v="20570.150000000001"/>
    <x v="4"/>
    <s v="Completed"/>
    <x v="5"/>
  </r>
  <r>
    <s v="ORD10174"/>
    <x v="148"/>
    <x v="0"/>
    <x v="6"/>
    <s v="CUST1087"/>
    <x v="114"/>
    <s v="Female"/>
    <n v="54"/>
    <s v="Mumbai"/>
    <s v="Maharashtra"/>
    <x v="0"/>
    <x v="2"/>
    <s v="Apparel"/>
    <x v="6"/>
    <n v="4"/>
    <n v="3500"/>
    <n v="0"/>
    <n v="14000"/>
    <n v="1412.99"/>
    <x v="0"/>
    <s v="Completed"/>
    <x v="5"/>
  </r>
  <r>
    <s v="ORD10175"/>
    <x v="149"/>
    <x v="0"/>
    <x v="0"/>
    <s v="CUST1037"/>
    <x v="38"/>
    <s v="Female"/>
    <n v="53"/>
    <s v="Chennai"/>
    <s v="Tamil Nadu"/>
    <x v="2"/>
    <x v="2"/>
    <s v="Apparel"/>
    <x v="10"/>
    <n v="4"/>
    <n v="800"/>
    <n v="0"/>
    <n v="3200"/>
    <n v="853.58"/>
    <x v="2"/>
    <s v="Completed"/>
    <x v="1"/>
  </r>
  <r>
    <s v="ORD10176"/>
    <x v="4"/>
    <x v="0"/>
    <x v="1"/>
    <s v="CUST1025"/>
    <x v="12"/>
    <s v="Male"/>
    <n v="41"/>
    <s v="Chennai"/>
    <s v="Tamil Nadu"/>
    <x v="2"/>
    <x v="0"/>
    <s v="Gadgets"/>
    <x v="9"/>
    <n v="4"/>
    <n v="65000"/>
    <n v="20"/>
    <n v="208000"/>
    <n v="39059.279999999999"/>
    <x v="2"/>
    <s v="Pending"/>
    <x v="2"/>
  </r>
  <r>
    <s v="ORD10177"/>
    <x v="150"/>
    <x v="1"/>
    <x v="9"/>
    <s v="CUST1036"/>
    <x v="57"/>
    <s v="Male"/>
    <n v="53"/>
    <s v="Delhi"/>
    <s v="Delhi"/>
    <x v="1"/>
    <x v="2"/>
    <s v="Apparel"/>
    <x v="6"/>
    <n v="4"/>
    <n v="3500"/>
    <n v="20"/>
    <n v="11200"/>
    <n v="1256.81"/>
    <x v="2"/>
    <s v="Pending"/>
    <x v="1"/>
  </r>
  <r>
    <s v="ORD10178"/>
    <x v="151"/>
    <x v="1"/>
    <x v="11"/>
    <s v="CUST1107"/>
    <x v="59"/>
    <s v="Male"/>
    <n v="40"/>
    <s v="Ahmedabad"/>
    <s v="Gujarat"/>
    <x v="0"/>
    <x v="2"/>
    <s v="Apparel"/>
    <x v="4"/>
    <n v="3"/>
    <n v="1800"/>
    <n v="5"/>
    <n v="5130"/>
    <n v="1388.72"/>
    <x v="0"/>
    <s v="Completed"/>
    <x v="0"/>
  </r>
  <r>
    <s v="ORD10179"/>
    <x v="152"/>
    <x v="1"/>
    <x v="1"/>
    <s v="CUST1080"/>
    <x v="41"/>
    <s v="Male"/>
    <n v="25"/>
    <s v="Chennai"/>
    <s v="Tamil Nadu"/>
    <x v="2"/>
    <x v="2"/>
    <s v="Apparel"/>
    <x v="4"/>
    <n v="5"/>
    <n v="1800"/>
    <n v="5"/>
    <n v="8550"/>
    <n v="1261.95"/>
    <x v="2"/>
    <s v="Cancelled"/>
    <x v="0"/>
  </r>
  <r>
    <s v="ORD10180"/>
    <x v="153"/>
    <x v="0"/>
    <x v="1"/>
    <s v="CUST1096"/>
    <x v="18"/>
    <s v="Female"/>
    <n v="47"/>
    <s v="Hyderabad"/>
    <s v="Telangana"/>
    <x v="2"/>
    <x v="1"/>
    <s v="Stationery"/>
    <x v="2"/>
    <n v="5"/>
    <n v="150"/>
    <n v="5"/>
    <n v="712.5"/>
    <n v="196.28"/>
    <x v="2"/>
    <s v="Completed"/>
    <x v="0"/>
  </r>
  <r>
    <s v="ORD10181"/>
    <x v="154"/>
    <x v="0"/>
    <x v="5"/>
    <s v="CUST1039"/>
    <x v="82"/>
    <s v="Male"/>
    <n v="20"/>
    <s v="Kolkata"/>
    <s v="West Bengal"/>
    <x v="3"/>
    <x v="3"/>
    <s v="Home"/>
    <x v="8"/>
    <n v="5"/>
    <n v="7000"/>
    <n v="5"/>
    <n v="33250"/>
    <n v="4021.96"/>
    <x v="2"/>
    <s v="Completed"/>
    <x v="2"/>
  </r>
  <r>
    <s v="ORD10182"/>
    <x v="133"/>
    <x v="1"/>
    <x v="5"/>
    <s v="CUST1142"/>
    <x v="115"/>
    <s v="Female"/>
    <n v="24"/>
    <s v="Ahmedabad"/>
    <s v="Gujarat"/>
    <x v="0"/>
    <x v="3"/>
    <s v="Home"/>
    <x v="8"/>
    <n v="4"/>
    <n v="7000"/>
    <n v="5"/>
    <n v="26600"/>
    <n v="4432.96"/>
    <x v="3"/>
    <s v="Cancelled"/>
    <x v="3"/>
  </r>
  <r>
    <s v="ORD10183"/>
    <x v="82"/>
    <x v="0"/>
    <x v="7"/>
    <s v="CUST1079"/>
    <x v="63"/>
    <s v="Female"/>
    <n v="24"/>
    <s v="Hyderabad"/>
    <s v="Telangana"/>
    <x v="2"/>
    <x v="0"/>
    <s v="Gadgets"/>
    <x v="9"/>
    <n v="1"/>
    <n v="65000"/>
    <n v="5"/>
    <n v="61750"/>
    <n v="16413.830000000002"/>
    <x v="0"/>
    <s v="Cancelled"/>
    <x v="0"/>
  </r>
  <r>
    <s v="ORD10184"/>
    <x v="43"/>
    <x v="1"/>
    <x v="7"/>
    <s v="CUST1121"/>
    <x v="114"/>
    <s v="Male"/>
    <n v="35"/>
    <s v="Hyderabad"/>
    <s v="Telangana"/>
    <x v="2"/>
    <x v="0"/>
    <s v="Gadgets"/>
    <x v="1"/>
    <n v="5"/>
    <n v="2500"/>
    <n v="15"/>
    <n v="10625"/>
    <n v="2904.97"/>
    <x v="1"/>
    <s v="Completed"/>
    <x v="4"/>
  </r>
  <r>
    <s v="ORD10185"/>
    <x v="70"/>
    <x v="1"/>
    <x v="4"/>
    <s v="CUST1147"/>
    <x v="116"/>
    <s v="Female"/>
    <n v="46"/>
    <s v="Chennai"/>
    <s v="Tamil Nadu"/>
    <x v="2"/>
    <x v="1"/>
    <s v="Stationery"/>
    <x v="11"/>
    <n v="2"/>
    <n v="450"/>
    <n v="20"/>
    <n v="720"/>
    <n v="169.82"/>
    <x v="4"/>
    <s v="Pending"/>
    <x v="4"/>
  </r>
  <r>
    <s v="ORD10186"/>
    <x v="12"/>
    <x v="1"/>
    <x v="2"/>
    <s v="CUST1056"/>
    <x v="117"/>
    <s v="Female"/>
    <n v="28"/>
    <s v="Delhi"/>
    <s v="Delhi"/>
    <x v="1"/>
    <x v="2"/>
    <s v="Apparel"/>
    <x v="10"/>
    <n v="3"/>
    <n v="800"/>
    <n v="15"/>
    <n v="2040"/>
    <n v="463.45"/>
    <x v="0"/>
    <s v="Completed"/>
    <x v="5"/>
  </r>
  <r>
    <s v="ORD10187"/>
    <x v="155"/>
    <x v="0"/>
    <x v="0"/>
    <s v="CUST1092"/>
    <x v="89"/>
    <s v="Female"/>
    <n v="56"/>
    <s v="Hyderabad"/>
    <s v="Telangana"/>
    <x v="2"/>
    <x v="3"/>
    <s v="Home"/>
    <x v="12"/>
    <n v="1"/>
    <n v="6000"/>
    <n v="15"/>
    <n v="5100"/>
    <n v="465.66"/>
    <x v="0"/>
    <s v="Completed"/>
    <x v="4"/>
  </r>
  <r>
    <s v="ORD10188"/>
    <x v="118"/>
    <x v="0"/>
    <x v="6"/>
    <s v="CUST1007"/>
    <x v="118"/>
    <s v="Male"/>
    <n v="41"/>
    <s v="Mumbai"/>
    <s v="Maharashtra"/>
    <x v="0"/>
    <x v="1"/>
    <s v="Stationery"/>
    <x v="2"/>
    <n v="1"/>
    <n v="150"/>
    <n v="0"/>
    <n v="150"/>
    <n v="34.409999999999997"/>
    <x v="2"/>
    <s v="Completed"/>
    <x v="1"/>
  </r>
  <r>
    <s v="ORD10189"/>
    <x v="125"/>
    <x v="1"/>
    <x v="4"/>
    <s v="CUST1005"/>
    <x v="43"/>
    <s v="Female"/>
    <n v="28"/>
    <s v="Ahmedabad"/>
    <s v="Gujarat"/>
    <x v="0"/>
    <x v="1"/>
    <s v="Stationery"/>
    <x v="11"/>
    <n v="5"/>
    <n v="450"/>
    <n v="0"/>
    <n v="2250"/>
    <n v="628.25"/>
    <x v="1"/>
    <s v="Completed"/>
    <x v="4"/>
  </r>
  <r>
    <s v="ORD10190"/>
    <x v="79"/>
    <x v="0"/>
    <x v="1"/>
    <s v="CUST1004"/>
    <x v="119"/>
    <s v="Male"/>
    <n v="24"/>
    <s v="Bengaluru"/>
    <s v="Karnataka"/>
    <x v="2"/>
    <x v="3"/>
    <s v="Home"/>
    <x v="5"/>
    <n v="3"/>
    <n v="9000"/>
    <n v="10"/>
    <n v="24300"/>
    <n v="6587.56"/>
    <x v="3"/>
    <s v="Cancelled"/>
    <x v="2"/>
  </r>
  <r>
    <s v="ORD10191"/>
    <x v="156"/>
    <x v="0"/>
    <x v="5"/>
    <s v="CUST1110"/>
    <x v="120"/>
    <s v="Female"/>
    <n v="49"/>
    <s v="Chennai"/>
    <s v="Tamil Nadu"/>
    <x v="2"/>
    <x v="3"/>
    <s v="Home"/>
    <x v="5"/>
    <n v="5"/>
    <n v="9000"/>
    <n v="0"/>
    <n v="45000"/>
    <n v="6715.03"/>
    <x v="1"/>
    <s v="Completed"/>
    <x v="5"/>
  </r>
  <r>
    <s v="ORD10192"/>
    <x v="157"/>
    <x v="1"/>
    <x v="5"/>
    <s v="CUST1072"/>
    <x v="121"/>
    <s v="Male"/>
    <n v="39"/>
    <s v="Hyderabad"/>
    <s v="Telangana"/>
    <x v="2"/>
    <x v="2"/>
    <s v="Apparel"/>
    <x v="4"/>
    <n v="5"/>
    <n v="1800"/>
    <n v="10"/>
    <n v="8100"/>
    <n v="1174.3699999999999"/>
    <x v="2"/>
    <s v="Pending"/>
    <x v="3"/>
  </r>
  <r>
    <s v="ORD10193"/>
    <x v="158"/>
    <x v="1"/>
    <x v="5"/>
    <s v="CUST1092"/>
    <x v="65"/>
    <s v="Female"/>
    <n v="42"/>
    <s v="Chennai"/>
    <s v="Tamil Nadu"/>
    <x v="2"/>
    <x v="2"/>
    <s v="Apparel"/>
    <x v="10"/>
    <n v="3"/>
    <n v="800"/>
    <n v="5"/>
    <n v="2280"/>
    <n v="489.53"/>
    <x v="3"/>
    <s v="Pending"/>
    <x v="2"/>
  </r>
  <r>
    <s v="ORD10194"/>
    <x v="159"/>
    <x v="1"/>
    <x v="9"/>
    <s v="CUST1115"/>
    <x v="122"/>
    <s v="Male"/>
    <n v="31"/>
    <s v="Kolkata"/>
    <s v="West Bengal"/>
    <x v="3"/>
    <x v="0"/>
    <s v="Gadgets"/>
    <x v="1"/>
    <n v="5"/>
    <n v="2500"/>
    <n v="10"/>
    <n v="11250"/>
    <n v="2583.17"/>
    <x v="3"/>
    <s v="Cancelled"/>
    <x v="2"/>
  </r>
  <r>
    <s v="ORD10195"/>
    <x v="160"/>
    <x v="1"/>
    <x v="4"/>
    <s v="CUST1022"/>
    <x v="123"/>
    <s v="Male"/>
    <n v="48"/>
    <s v="Chennai"/>
    <s v="Tamil Nadu"/>
    <x v="2"/>
    <x v="1"/>
    <s v="Stationery"/>
    <x v="11"/>
    <n v="2"/>
    <n v="450"/>
    <n v="5"/>
    <n v="855"/>
    <n v="178.3"/>
    <x v="0"/>
    <s v="Completed"/>
    <x v="5"/>
  </r>
  <r>
    <s v="ORD10196"/>
    <x v="161"/>
    <x v="1"/>
    <x v="5"/>
    <s v="CUST1107"/>
    <x v="110"/>
    <s v="Male"/>
    <n v="22"/>
    <s v="Mumbai"/>
    <s v="Maharashtra"/>
    <x v="0"/>
    <x v="0"/>
    <s v="Gadgets"/>
    <x v="1"/>
    <n v="1"/>
    <n v="2500"/>
    <n v="5"/>
    <n v="2375"/>
    <n v="355.69"/>
    <x v="2"/>
    <s v="Cancelled"/>
    <x v="4"/>
  </r>
  <r>
    <s v="ORD10197"/>
    <x v="162"/>
    <x v="1"/>
    <x v="9"/>
    <s v="CUST1103"/>
    <x v="30"/>
    <s v="Female"/>
    <n v="48"/>
    <s v="Bengaluru"/>
    <s v="Karnataka"/>
    <x v="2"/>
    <x v="2"/>
    <s v="Apparel"/>
    <x v="4"/>
    <n v="2"/>
    <n v="1800"/>
    <n v="10"/>
    <n v="3240"/>
    <n v="834.87"/>
    <x v="4"/>
    <s v="Completed"/>
    <x v="1"/>
  </r>
  <r>
    <s v="ORD10198"/>
    <x v="163"/>
    <x v="1"/>
    <x v="8"/>
    <s v="CUST1103"/>
    <x v="124"/>
    <s v="Male"/>
    <n v="45"/>
    <s v="Delhi"/>
    <s v="Delhi"/>
    <x v="1"/>
    <x v="0"/>
    <s v="Gadgets"/>
    <x v="3"/>
    <n v="2"/>
    <n v="25000"/>
    <n v="15"/>
    <n v="42500"/>
    <n v="5145.22"/>
    <x v="3"/>
    <s v="Completed"/>
    <x v="5"/>
  </r>
  <r>
    <s v="ORD10199"/>
    <x v="164"/>
    <x v="1"/>
    <x v="10"/>
    <s v="CUST1135"/>
    <x v="6"/>
    <s v="Female"/>
    <n v="25"/>
    <s v="Ahmedabad"/>
    <s v="Gujarat"/>
    <x v="0"/>
    <x v="3"/>
    <s v="Home"/>
    <x v="8"/>
    <n v="3"/>
    <n v="7000"/>
    <n v="5"/>
    <n v="19950"/>
    <n v="4756.6099999999997"/>
    <x v="3"/>
    <s v="Completed"/>
    <x v="3"/>
  </r>
  <r>
    <s v="ORD10200"/>
    <x v="165"/>
    <x v="1"/>
    <x v="0"/>
    <s v="CUST1102"/>
    <x v="125"/>
    <s v="Female"/>
    <n v="57"/>
    <s v="Bengaluru"/>
    <s v="Karnataka"/>
    <x v="2"/>
    <x v="3"/>
    <s v="Home"/>
    <x v="12"/>
    <n v="1"/>
    <n v="6000"/>
    <n v="0"/>
    <n v="6000"/>
    <n v="981.3"/>
    <x v="1"/>
    <s v="Cancelled"/>
    <x v="5"/>
  </r>
  <r>
    <s v="ORD10201"/>
    <x v="157"/>
    <x v="1"/>
    <x v="5"/>
    <s v="CUST1150"/>
    <x v="126"/>
    <s v="Male"/>
    <n v="24"/>
    <s v="Delhi"/>
    <s v="Delhi"/>
    <x v="1"/>
    <x v="2"/>
    <s v="Apparel"/>
    <x v="10"/>
    <n v="2"/>
    <n v="800"/>
    <n v="20"/>
    <n v="1280"/>
    <n v="272.55"/>
    <x v="3"/>
    <s v="Cancelled"/>
    <x v="5"/>
  </r>
  <r>
    <s v="ORD10202"/>
    <x v="67"/>
    <x v="1"/>
    <x v="9"/>
    <s v="CUST1120"/>
    <x v="104"/>
    <s v="Female"/>
    <n v="57"/>
    <s v="Ahmedabad"/>
    <s v="Gujarat"/>
    <x v="0"/>
    <x v="2"/>
    <s v="Apparel"/>
    <x v="10"/>
    <n v="5"/>
    <n v="800"/>
    <n v="0"/>
    <n v="4000"/>
    <n v="379.07"/>
    <x v="4"/>
    <s v="Completed"/>
    <x v="3"/>
  </r>
  <r>
    <s v="ORD10203"/>
    <x v="166"/>
    <x v="0"/>
    <x v="7"/>
    <s v="CUST1004"/>
    <x v="127"/>
    <s v="Male"/>
    <n v="48"/>
    <s v="Chennai"/>
    <s v="Tamil Nadu"/>
    <x v="2"/>
    <x v="3"/>
    <s v="Home"/>
    <x v="5"/>
    <n v="3"/>
    <n v="9000"/>
    <n v="20"/>
    <n v="21600"/>
    <n v="3816.3"/>
    <x v="2"/>
    <s v="Cancelled"/>
    <x v="3"/>
  </r>
  <r>
    <s v="ORD10204"/>
    <x v="40"/>
    <x v="1"/>
    <x v="3"/>
    <s v="CUST1035"/>
    <x v="128"/>
    <s v="Male"/>
    <n v="56"/>
    <s v="Kolkata"/>
    <s v="West Bengal"/>
    <x v="3"/>
    <x v="1"/>
    <s v="Stationery"/>
    <x v="2"/>
    <n v="3"/>
    <n v="150"/>
    <n v="0"/>
    <n v="450"/>
    <n v="87.43"/>
    <x v="1"/>
    <s v="Pending"/>
    <x v="5"/>
  </r>
  <r>
    <s v="ORD10205"/>
    <x v="167"/>
    <x v="1"/>
    <x v="1"/>
    <s v="CUST1118"/>
    <x v="22"/>
    <s v="Female"/>
    <n v="35"/>
    <s v="Delhi"/>
    <s v="Delhi"/>
    <x v="1"/>
    <x v="0"/>
    <s v="Gadgets"/>
    <x v="9"/>
    <n v="5"/>
    <n v="65000"/>
    <n v="10"/>
    <n v="292500"/>
    <n v="32876.129999999997"/>
    <x v="1"/>
    <s v="Cancelled"/>
    <x v="0"/>
  </r>
  <r>
    <s v="ORD10206"/>
    <x v="69"/>
    <x v="1"/>
    <x v="0"/>
    <s v="CUST1109"/>
    <x v="76"/>
    <s v="Female"/>
    <n v="40"/>
    <s v="Delhi"/>
    <s v="Delhi"/>
    <x v="1"/>
    <x v="2"/>
    <s v="Apparel"/>
    <x v="6"/>
    <n v="1"/>
    <n v="3500"/>
    <n v="5"/>
    <n v="3325"/>
    <n v="535.34"/>
    <x v="2"/>
    <s v="Completed"/>
    <x v="1"/>
  </r>
  <r>
    <s v="ORD10207"/>
    <x v="168"/>
    <x v="1"/>
    <x v="11"/>
    <s v="CUST1052"/>
    <x v="94"/>
    <s v="Female"/>
    <n v="45"/>
    <s v="Ahmedabad"/>
    <s v="Gujarat"/>
    <x v="0"/>
    <x v="1"/>
    <s v="Stationery"/>
    <x v="7"/>
    <n v="3"/>
    <n v="120"/>
    <n v="15"/>
    <n v="306"/>
    <n v="30.75"/>
    <x v="4"/>
    <s v="Completed"/>
    <x v="4"/>
  </r>
  <r>
    <s v="ORD10208"/>
    <x v="169"/>
    <x v="1"/>
    <x v="4"/>
    <s v="CUST1033"/>
    <x v="118"/>
    <s v="Female"/>
    <n v="30"/>
    <s v="Bengaluru"/>
    <s v="Karnataka"/>
    <x v="2"/>
    <x v="0"/>
    <s v="Gadgets"/>
    <x v="3"/>
    <n v="1"/>
    <n v="25000"/>
    <n v="0"/>
    <n v="25000"/>
    <n v="3623.02"/>
    <x v="2"/>
    <s v="Completed"/>
    <x v="1"/>
  </r>
  <r>
    <s v="ORD10209"/>
    <x v="106"/>
    <x v="0"/>
    <x v="6"/>
    <s v="CUST1116"/>
    <x v="129"/>
    <s v="Male"/>
    <n v="44"/>
    <s v="Pune"/>
    <s v="Maharashtra"/>
    <x v="0"/>
    <x v="3"/>
    <s v="Home"/>
    <x v="12"/>
    <n v="3"/>
    <n v="6000"/>
    <n v="10"/>
    <n v="16200"/>
    <n v="2334.35"/>
    <x v="4"/>
    <s v="Completed"/>
    <x v="0"/>
  </r>
  <r>
    <s v="ORD10210"/>
    <x v="170"/>
    <x v="0"/>
    <x v="0"/>
    <s v="CUST1044"/>
    <x v="72"/>
    <s v="Male"/>
    <n v="34"/>
    <s v="Pune"/>
    <s v="Maharashtra"/>
    <x v="0"/>
    <x v="0"/>
    <s v="Gadgets"/>
    <x v="3"/>
    <n v="1"/>
    <n v="25000"/>
    <n v="5"/>
    <n v="23750"/>
    <n v="2195.9"/>
    <x v="3"/>
    <s v="Completed"/>
    <x v="5"/>
  </r>
  <r>
    <s v="ORD10211"/>
    <x v="171"/>
    <x v="1"/>
    <x v="0"/>
    <s v="CUST1054"/>
    <x v="33"/>
    <s v="Female"/>
    <n v="23"/>
    <s v="Hyderabad"/>
    <s v="Telangana"/>
    <x v="2"/>
    <x v="0"/>
    <s v="Gadgets"/>
    <x v="1"/>
    <n v="5"/>
    <n v="2500"/>
    <n v="15"/>
    <n v="10625"/>
    <n v="942.86"/>
    <x v="2"/>
    <s v="Cancelled"/>
    <x v="5"/>
  </r>
  <r>
    <s v="ORD10212"/>
    <x v="172"/>
    <x v="1"/>
    <x v="10"/>
    <s v="CUST1125"/>
    <x v="22"/>
    <s v="Male"/>
    <n v="46"/>
    <s v="Mumbai"/>
    <s v="Maharashtra"/>
    <x v="0"/>
    <x v="3"/>
    <s v="Home"/>
    <x v="8"/>
    <n v="2"/>
    <n v="7000"/>
    <n v="0"/>
    <n v="14000"/>
    <n v="1839.99"/>
    <x v="2"/>
    <s v="Completed"/>
    <x v="5"/>
  </r>
  <r>
    <s v="ORD10213"/>
    <x v="173"/>
    <x v="1"/>
    <x v="6"/>
    <s v="CUST1136"/>
    <x v="33"/>
    <s v="Female"/>
    <n v="48"/>
    <s v="Mumbai"/>
    <s v="Maharashtra"/>
    <x v="0"/>
    <x v="3"/>
    <s v="Home"/>
    <x v="12"/>
    <n v="1"/>
    <n v="6000"/>
    <n v="20"/>
    <n v="4800"/>
    <n v="974.39"/>
    <x v="4"/>
    <s v="Completed"/>
    <x v="5"/>
  </r>
  <r>
    <s v="ORD10214"/>
    <x v="174"/>
    <x v="1"/>
    <x v="0"/>
    <s v="CUST1122"/>
    <x v="22"/>
    <s v="Male"/>
    <n v="38"/>
    <s v="Bengaluru"/>
    <s v="Karnataka"/>
    <x v="2"/>
    <x v="3"/>
    <s v="Home"/>
    <x v="5"/>
    <n v="3"/>
    <n v="9000"/>
    <n v="5"/>
    <n v="25650"/>
    <n v="4291.16"/>
    <x v="1"/>
    <s v="Completed"/>
    <x v="5"/>
  </r>
  <r>
    <s v="ORD10215"/>
    <x v="60"/>
    <x v="1"/>
    <x v="9"/>
    <s v="CUST1035"/>
    <x v="130"/>
    <s v="Female"/>
    <n v="26"/>
    <s v="Chennai"/>
    <s v="Tamil Nadu"/>
    <x v="2"/>
    <x v="0"/>
    <s v="Gadgets"/>
    <x v="0"/>
    <n v="1"/>
    <n v="12000"/>
    <n v="10"/>
    <n v="10800"/>
    <n v="2802.04"/>
    <x v="0"/>
    <s v="Pending"/>
    <x v="2"/>
  </r>
  <r>
    <s v="ORD10216"/>
    <x v="162"/>
    <x v="1"/>
    <x v="9"/>
    <s v="CUST1050"/>
    <x v="60"/>
    <s v="Male"/>
    <n v="26"/>
    <s v="Delhi"/>
    <s v="Delhi"/>
    <x v="1"/>
    <x v="2"/>
    <s v="Apparel"/>
    <x v="10"/>
    <n v="3"/>
    <n v="800"/>
    <n v="10"/>
    <n v="2160"/>
    <n v="299.52"/>
    <x v="4"/>
    <s v="Pending"/>
    <x v="3"/>
  </r>
  <r>
    <s v="ORD10217"/>
    <x v="175"/>
    <x v="1"/>
    <x v="8"/>
    <s v="CUST1074"/>
    <x v="34"/>
    <s v="Female"/>
    <n v="37"/>
    <s v="Ahmedabad"/>
    <s v="Gujarat"/>
    <x v="0"/>
    <x v="3"/>
    <s v="Home"/>
    <x v="12"/>
    <n v="3"/>
    <n v="6000"/>
    <n v="20"/>
    <n v="14400"/>
    <n v="1403.53"/>
    <x v="2"/>
    <s v="Pending"/>
    <x v="1"/>
  </r>
  <r>
    <s v="ORD10218"/>
    <x v="174"/>
    <x v="1"/>
    <x v="0"/>
    <s v="CUST1139"/>
    <x v="46"/>
    <s v="Female"/>
    <n v="42"/>
    <s v="Chennai"/>
    <s v="Tamil Nadu"/>
    <x v="2"/>
    <x v="1"/>
    <s v="Stationery"/>
    <x v="7"/>
    <n v="4"/>
    <n v="120"/>
    <n v="15"/>
    <n v="408"/>
    <n v="51.18"/>
    <x v="1"/>
    <s v="Cancelled"/>
    <x v="2"/>
  </r>
  <r>
    <s v="ORD10219"/>
    <x v="176"/>
    <x v="1"/>
    <x v="6"/>
    <s v="CUST1114"/>
    <x v="87"/>
    <s v="Male"/>
    <n v="59"/>
    <s v="Pune"/>
    <s v="Maharashtra"/>
    <x v="0"/>
    <x v="2"/>
    <s v="Apparel"/>
    <x v="10"/>
    <n v="2"/>
    <n v="800"/>
    <n v="5"/>
    <n v="1520"/>
    <n v="355.67"/>
    <x v="2"/>
    <s v="Cancelled"/>
    <x v="0"/>
  </r>
  <r>
    <s v="ORD10220"/>
    <x v="177"/>
    <x v="1"/>
    <x v="3"/>
    <s v="CUST1034"/>
    <x v="107"/>
    <s v="Male"/>
    <n v="36"/>
    <s v="Delhi"/>
    <s v="Delhi"/>
    <x v="1"/>
    <x v="0"/>
    <s v="Gadgets"/>
    <x v="9"/>
    <n v="5"/>
    <n v="65000"/>
    <n v="15"/>
    <n v="276250"/>
    <n v="57305.120000000003"/>
    <x v="2"/>
    <s v="Completed"/>
    <x v="4"/>
  </r>
  <r>
    <s v="ORD10221"/>
    <x v="178"/>
    <x v="1"/>
    <x v="2"/>
    <s v="CUST1046"/>
    <x v="24"/>
    <s v="Male"/>
    <n v="60"/>
    <s v="Bengaluru"/>
    <s v="Karnataka"/>
    <x v="2"/>
    <x v="0"/>
    <s v="Gadgets"/>
    <x v="3"/>
    <n v="1"/>
    <n v="25000"/>
    <n v="15"/>
    <n v="21250"/>
    <n v="5926.63"/>
    <x v="0"/>
    <s v="Completed"/>
    <x v="1"/>
  </r>
  <r>
    <s v="ORD10222"/>
    <x v="179"/>
    <x v="1"/>
    <x v="10"/>
    <s v="CUST1040"/>
    <x v="47"/>
    <s v="Female"/>
    <n v="55"/>
    <s v="Bengaluru"/>
    <s v="Karnataka"/>
    <x v="2"/>
    <x v="0"/>
    <s v="Gadgets"/>
    <x v="1"/>
    <n v="3"/>
    <n v="2500"/>
    <n v="0"/>
    <n v="7500"/>
    <n v="737.98"/>
    <x v="1"/>
    <s v="Completed"/>
    <x v="5"/>
  </r>
  <r>
    <s v="ORD10223"/>
    <x v="77"/>
    <x v="0"/>
    <x v="7"/>
    <s v="CUST1138"/>
    <x v="46"/>
    <s v="Female"/>
    <n v="54"/>
    <s v="Pune"/>
    <s v="Maharashtra"/>
    <x v="0"/>
    <x v="1"/>
    <s v="Stationery"/>
    <x v="11"/>
    <n v="1"/>
    <n v="450"/>
    <n v="5"/>
    <n v="427.5"/>
    <n v="53.14"/>
    <x v="4"/>
    <s v="Completed"/>
    <x v="2"/>
  </r>
  <r>
    <s v="ORD10224"/>
    <x v="6"/>
    <x v="0"/>
    <x v="2"/>
    <s v="CUST1087"/>
    <x v="128"/>
    <s v="Male"/>
    <n v="51"/>
    <s v="Mumbai"/>
    <s v="Maharashtra"/>
    <x v="0"/>
    <x v="3"/>
    <s v="Home"/>
    <x v="12"/>
    <n v="2"/>
    <n v="6000"/>
    <n v="0"/>
    <n v="12000"/>
    <n v="2239.2600000000002"/>
    <x v="3"/>
    <s v="Completed"/>
    <x v="4"/>
  </r>
  <r>
    <s v="ORD10225"/>
    <x v="132"/>
    <x v="0"/>
    <x v="1"/>
    <s v="CUST1114"/>
    <x v="87"/>
    <s v="Female"/>
    <n v="21"/>
    <s v="Pune"/>
    <s v="Maharashtra"/>
    <x v="0"/>
    <x v="3"/>
    <s v="Home"/>
    <x v="5"/>
    <n v="1"/>
    <n v="9000"/>
    <n v="20"/>
    <n v="7200"/>
    <n v="1272.8699999999999"/>
    <x v="3"/>
    <s v="Pending"/>
    <x v="4"/>
  </r>
  <r>
    <s v="ORD10226"/>
    <x v="180"/>
    <x v="1"/>
    <x v="0"/>
    <s v="CUST1125"/>
    <x v="79"/>
    <s v="Female"/>
    <n v="53"/>
    <s v="Kolkata"/>
    <s v="West Bengal"/>
    <x v="3"/>
    <x v="3"/>
    <s v="Home"/>
    <x v="12"/>
    <n v="3"/>
    <n v="6000"/>
    <n v="20"/>
    <n v="14400"/>
    <n v="1692.7"/>
    <x v="1"/>
    <s v="Completed"/>
    <x v="2"/>
  </r>
  <r>
    <s v="ORD10227"/>
    <x v="181"/>
    <x v="1"/>
    <x v="2"/>
    <s v="CUST1031"/>
    <x v="131"/>
    <s v="Female"/>
    <n v="31"/>
    <s v="Ahmedabad"/>
    <s v="Gujarat"/>
    <x v="0"/>
    <x v="2"/>
    <s v="Apparel"/>
    <x v="4"/>
    <n v="4"/>
    <n v="1800"/>
    <n v="20"/>
    <n v="5760"/>
    <n v="1003.31"/>
    <x v="1"/>
    <s v="Completed"/>
    <x v="1"/>
  </r>
  <r>
    <s v="ORD10228"/>
    <x v="182"/>
    <x v="1"/>
    <x v="6"/>
    <s v="CUST1048"/>
    <x v="12"/>
    <s v="Male"/>
    <n v="42"/>
    <s v="Mumbai"/>
    <s v="Maharashtra"/>
    <x v="0"/>
    <x v="2"/>
    <s v="Apparel"/>
    <x v="6"/>
    <n v="3"/>
    <n v="3500"/>
    <n v="15"/>
    <n v="8925"/>
    <n v="2301.15"/>
    <x v="0"/>
    <s v="Completed"/>
    <x v="2"/>
  </r>
  <r>
    <s v="ORD10229"/>
    <x v="52"/>
    <x v="1"/>
    <x v="0"/>
    <s v="CUST1121"/>
    <x v="87"/>
    <s v="Male"/>
    <n v="31"/>
    <s v="Delhi"/>
    <s v="Delhi"/>
    <x v="1"/>
    <x v="2"/>
    <s v="Apparel"/>
    <x v="6"/>
    <n v="4"/>
    <n v="3500"/>
    <n v="10"/>
    <n v="12600"/>
    <n v="3475.92"/>
    <x v="4"/>
    <s v="Completed"/>
    <x v="0"/>
  </r>
  <r>
    <s v="ORD10230"/>
    <x v="183"/>
    <x v="1"/>
    <x v="9"/>
    <s v="CUST1083"/>
    <x v="106"/>
    <s v="Male"/>
    <n v="45"/>
    <s v="Chennai"/>
    <s v="Tamil Nadu"/>
    <x v="2"/>
    <x v="3"/>
    <s v="Home"/>
    <x v="12"/>
    <n v="3"/>
    <n v="6000"/>
    <n v="10"/>
    <n v="16200"/>
    <n v="3538.51"/>
    <x v="2"/>
    <s v="Cancelled"/>
    <x v="1"/>
  </r>
  <r>
    <s v="ORD10231"/>
    <x v="184"/>
    <x v="0"/>
    <x v="1"/>
    <s v="CUST1068"/>
    <x v="103"/>
    <s v="Female"/>
    <n v="52"/>
    <s v="Pune"/>
    <s v="Maharashtra"/>
    <x v="0"/>
    <x v="0"/>
    <s v="Gadgets"/>
    <x v="0"/>
    <n v="4"/>
    <n v="12000"/>
    <n v="5"/>
    <n v="45600"/>
    <n v="7913.85"/>
    <x v="3"/>
    <s v="Completed"/>
    <x v="1"/>
  </r>
  <r>
    <s v="ORD10232"/>
    <x v="185"/>
    <x v="1"/>
    <x v="3"/>
    <s v="CUST1110"/>
    <x v="122"/>
    <s v="Male"/>
    <n v="29"/>
    <s v="Mumbai"/>
    <s v="Maharashtra"/>
    <x v="0"/>
    <x v="3"/>
    <s v="Home"/>
    <x v="8"/>
    <n v="4"/>
    <n v="7000"/>
    <n v="5"/>
    <n v="26600"/>
    <n v="5841.6"/>
    <x v="3"/>
    <s v="Pending"/>
    <x v="4"/>
  </r>
  <r>
    <s v="ORD10233"/>
    <x v="186"/>
    <x v="1"/>
    <x v="10"/>
    <s v="CUST1098"/>
    <x v="83"/>
    <s v="Female"/>
    <n v="38"/>
    <s v="Pune"/>
    <s v="Maharashtra"/>
    <x v="0"/>
    <x v="0"/>
    <s v="Gadgets"/>
    <x v="9"/>
    <n v="4"/>
    <n v="65000"/>
    <n v="0"/>
    <n v="260000"/>
    <n v="40207.019999999997"/>
    <x v="2"/>
    <s v="Cancelled"/>
    <x v="2"/>
  </r>
  <r>
    <s v="ORD10234"/>
    <x v="187"/>
    <x v="1"/>
    <x v="6"/>
    <s v="CUST1022"/>
    <x v="11"/>
    <s v="Female"/>
    <n v="44"/>
    <s v="Bengaluru"/>
    <s v="Karnataka"/>
    <x v="2"/>
    <x v="0"/>
    <s v="Gadgets"/>
    <x v="0"/>
    <n v="4"/>
    <n v="12000"/>
    <n v="10"/>
    <n v="43200"/>
    <n v="5116.8"/>
    <x v="2"/>
    <s v="Cancelled"/>
    <x v="2"/>
  </r>
  <r>
    <s v="ORD10235"/>
    <x v="188"/>
    <x v="0"/>
    <x v="7"/>
    <s v="CUST1011"/>
    <x v="31"/>
    <s v="Male"/>
    <n v="39"/>
    <s v="Pune"/>
    <s v="Maharashtra"/>
    <x v="0"/>
    <x v="3"/>
    <s v="Home"/>
    <x v="12"/>
    <n v="1"/>
    <n v="6000"/>
    <n v="5"/>
    <n v="5700"/>
    <n v="889.34"/>
    <x v="4"/>
    <s v="Completed"/>
    <x v="0"/>
  </r>
  <r>
    <s v="ORD10236"/>
    <x v="156"/>
    <x v="0"/>
    <x v="5"/>
    <s v="CUST1095"/>
    <x v="35"/>
    <s v="Female"/>
    <n v="47"/>
    <s v="Delhi"/>
    <s v="Delhi"/>
    <x v="1"/>
    <x v="2"/>
    <s v="Apparel"/>
    <x v="4"/>
    <n v="2"/>
    <n v="1800"/>
    <n v="10"/>
    <n v="3240"/>
    <n v="466.4"/>
    <x v="3"/>
    <s v="Pending"/>
    <x v="3"/>
  </r>
  <r>
    <s v="ORD10237"/>
    <x v="189"/>
    <x v="1"/>
    <x v="6"/>
    <s v="CUST1010"/>
    <x v="79"/>
    <s v="Female"/>
    <n v="45"/>
    <s v="Mumbai"/>
    <s v="Maharashtra"/>
    <x v="0"/>
    <x v="0"/>
    <s v="Gadgets"/>
    <x v="9"/>
    <n v="5"/>
    <n v="65000"/>
    <n v="10"/>
    <n v="292500"/>
    <n v="61286.96"/>
    <x v="4"/>
    <s v="Cancelled"/>
    <x v="2"/>
  </r>
  <r>
    <s v="ORD10238"/>
    <x v="95"/>
    <x v="0"/>
    <x v="1"/>
    <s v="CUST1080"/>
    <x v="86"/>
    <s v="Male"/>
    <n v="38"/>
    <s v="Kolkata"/>
    <s v="West Bengal"/>
    <x v="3"/>
    <x v="2"/>
    <s v="Apparel"/>
    <x v="4"/>
    <n v="2"/>
    <n v="1800"/>
    <n v="20"/>
    <n v="2880"/>
    <n v="366.27"/>
    <x v="2"/>
    <s v="Completed"/>
    <x v="5"/>
  </r>
  <r>
    <s v="ORD10239"/>
    <x v="190"/>
    <x v="1"/>
    <x v="2"/>
    <s v="CUST1101"/>
    <x v="132"/>
    <s v="Female"/>
    <n v="43"/>
    <s v="Chennai"/>
    <s v="Tamil Nadu"/>
    <x v="2"/>
    <x v="1"/>
    <s v="Stationery"/>
    <x v="2"/>
    <n v="3"/>
    <n v="150"/>
    <n v="10"/>
    <n v="405"/>
    <n v="39.909999999999997"/>
    <x v="3"/>
    <s v="Pending"/>
    <x v="3"/>
  </r>
  <r>
    <s v="ORD10240"/>
    <x v="98"/>
    <x v="1"/>
    <x v="5"/>
    <s v="CUST1019"/>
    <x v="96"/>
    <s v="Male"/>
    <n v="37"/>
    <s v="Ahmedabad"/>
    <s v="Gujarat"/>
    <x v="0"/>
    <x v="0"/>
    <s v="Gadgets"/>
    <x v="3"/>
    <n v="3"/>
    <n v="25000"/>
    <n v="20"/>
    <n v="60000"/>
    <n v="16081.53"/>
    <x v="3"/>
    <s v="Completed"/>
    <x v="5"/>
  </r>
  <r>
    <s v="ORD10241"/>
    <x v="80"/>
    <x v="0"/>
    <x v="5"/>
    <s v="CUST1119"/>
    <x v="76"/>
    <s v="Male"/>
    <n v="47"/>
    <s v="Bengaluru"/>
    <s v="Karnataka"/>
    <x v="2"/>
    <x v="2"/>
    <s v="Apparel"/>
    <x v="6"/>
    <n v="3"/>
    <n v="3500"/>
    <n v="10"/>
    <n v="9450"/>
    <n v="2468.4699999999998"/>
    <x v="3"/>
    <s v="Completed"/>
    <x v="3"/>
  </r>
  <r>
    <s v="ORD10242"/>
    <x v="191"/>
    <x v="1"/>
    <x v="10"/>
    <s v="CUST1057"/>
    <x v="28"/>
    <s v="Male"/>
    <n v="59"/>
    <s v="Ahmedabad"/>
    <s v="Gujarat"/>
    <x v="0"/>
    <x v="2"/>
    <s v="Apparel"/>
    <x v="10"/>
    <n v="5"/>
    <n v="800"/>
    <n v="10"/>
    <n v="3600"/>
    <n v="770.56"/>
    <x v="1"/>
    <s v="Completed"/>
    <x v="0"/>
  </r>
  <r>
    <s v="ORD10243"/>
    <x v="110"/>
    <x v="0"/>
    <x v="6"/>
    <s v="CUST1146"/>
    <x v="15"/>
    <s v="Female"/>
    <n v="58"/>
    <s v="Hyderabad"/>
    <s v="Telangana"/>
    <x v="2"/>
    <x v="1"/>
    <s v="Stationery"/>
    <x v="11"/>
    <n v="5"/>
    <n v="450"/>
    <n v="5"/>
    <n v="2137.5"/>
    <n v="588.71"/>
    <x v="1"/>
    <s v="Cancelled"/>
    <x v="5"/>
  </r>
  <r>
    <s v="ORD10244"/>
    <x v="20"/>
    <x v="1"/>
    <x v="5"/>
    <s v="CUST1117"/>
    <x v="68"/>
    <s v="Female"/>
    <n v="33"/>
    <s v="Chennai"/>
    <s v="Tamil Nadu"/>
    <x v="2"/>
    <x v="2"/>
    <s v="Apparel"/>
    <x v="10"/>
    <n v="4"/>
    <n v="800"/>
    <n v="10"/>
    <n v="2880"/>
    <n v="799.28"/>
    <x v="4"/>
    <s v="Completed"/>
    <x v="0"/>
  </r>
  <r>
    <s v="ORD10245"/>
    <x v="20"/>
    <x v="1"/>
    <x v="5"/>
    <s v="CUST1003"/>
    <x v="133"/>
    <s v="Male"/>
    <n v="41"/>
    <s v="Bengaluru"/>
    <s v="Karnataka"/>
    <x v="2"/>
    <x v="3"/>
    <s v="Home"/>
    <x v="8"/>
    <n v="1"/>
    <n v="7000"/>
    <n v="15"/>
    <n v="5950"/>
    <n v="1234.8599999999999"/>
    <x v="1"/>
    <s v="Completed"/>
    <x v="2"/>
  </r>
  <r>
    <s v="ORD10246"/>
    <x v="139"/>
    <x v="1"/>
    <x v="2"/>
    <s v="CUST1098"/>
    <x v="126"/>
    <s v="Male"/>
    <n v="30"/>
    <s v="Delhi"/>
    <s v="Delhi"/>
    <x v="1"/>
    <x v="0"/>
    <s v="Gadgets"/>
    <x v="3"/>
    <n v="3"/>
    <n v="25000"/>
    <n v="20"/>
    <n v="60000"/>
    <n v="16033.84"/>
    <x v="4"/>
    <s v="Completed"/>
    <x v="1"/>
  </r>
  <r>
    <s v="ORD10247"/>
    <x v="192"/>
    <x v="1"/>
    <x v="11"/>
    <s v="CUST1050"/>
    <x v="109"/>
    <s v="Male"/>
    <n v="37"/>
    <s v="Delhi"/>
    <s v="Delhi"/>
    <x v="1"/>
    <x v="0"/>
    <s v="Gadgets"/>
    <x v="9"/>
    <n v="1"/>
    <n v="65000"/>
    <n v="20"/>
    <n v="52000"/>
    <n v="6099.8"/>
    <x v="4"/>
    <s v="Completed"/>
    <x v="5"/>
  </r>
  <r>
    <s v="ORD10248"/>
    <x v="193"/>
    <x v="1"/>
    <x v="0"/>
    <s v="CUST1060"/>
    <x v="134"/>
    <s v="Male"/>
    <n v="33"/>
    <s v="Ahmedabad"/>
    <s v="Gujarat"/>
    <x v="0"/>
    <x v="0"/>
    <s v="Gadgets"/>
    <x v="1"/>
    <n v="1"/>
    <n v="2500"/>
    <n v="15"/>
    <n v="2125"/>
    <n v="539.4"/>
    <x v="1"/>
    <s v="Pending"/>
    <x v="4"/>
  </r>
  <r>
    <s v="ORD10249"/>
    <x v="194"/>
    <x v="1"/>
    <x v="6"/>
    <s v="CUST1067"/>
    <x v="135"/>
    <s v="Female"/>
    <n v="39"/>
    <s v="Pune"/>
    <s v="Maharashtra"/>
    <x v="0"/>
    <x v="2"/>
    <s v="Apparel"/>
    <x v="6"/>
    <n v="1"/>
    <n v="3500"/>
    <n v="15"/>
    <n v="2975"/>
    <n v="630.41"/>
    <x v="4"/>
    <s v="Completed"/>
    <x v="4"/>
  </r>
  <r>
    <s v="ORD10250"/>
    <x v="139"/>
    <x v="1"/>
    <x v="2"/>
    <s v="CUST1005"/>
    <x v="49"/>
    <s v="Female"/>
    <n v="27"/>
    <s v="Mumbai"/>
    <s v="Maharashtra"/>
    <x v="0"/>
    <x v="2"/>
    <s v="Apparel"/>
    <x v="10"/>
    <n v="3"/>
    <n v="800"/>
    <n v="15"/>
    <n v="2040"/>
    <n v="215.95"/>
    <x v="4"/>
    <s v="Pending"/>
    <x v="3"/>
  </r>
  <r>
    <s v="ORD10251"/>
    <x v="119"/>
    <x v="0"/>
    <x v="7"/>
    <s v="CUST1104"/>
    <x v="108"/>
    <s v="Male"/>
    <n v="46"/>
    <s v="Delhi"/>
    <s v="Delhi"/>
    <x v="1"/>
    <x v="0"/>
    <s v="Gadgets"/>
    <x v="0"/>
    <n v="4"/>
    <n v="12000"/>
    <n v="10"/>
    <n v="43200"/>
    <n v="10787.54"/>
    <x v="2"/>
    <s v="Completed"/>
    <x v="1"/>
  </r>
  <r>
    <s v="ORD10252"/>
    <x v="164"/>
    <x v="1"/>
    <x v="10"/>
    <s v="CUST1077"/>
    <x v="84"/>
    <s v="Female"/>
    <n v="54"/>
    <s v="Kolkata"/>
    <s v="West Bengal"/>
    <x v="3"/>
    <x v="2"/>
    <s v="Apparel"/>
    <x v="4"/>
    <n v="4"/>
    <n v="1800"/>
    <n v="20"/>
    <n v="5760"/>
    <n v="790.5"/>
    <x v="1"/>
    <s v="Completed"/>
    <x v="4"/>
  </r>
  <r>
    <s v="ORD10253"/>
    <x v="195"/>
    <x v="1"/>
    <x v="2"/>
    <s v="CUST1095"/>
    <x v="41"/>
    <s v="Female"/>
    <n v="27"/>
    <s v="Delhi"/>
    <s v="Delhi"/>
    <x v="1"/>
    <x v="0"/>
    <s v="Gadgets"/>
    <x v="9"/>
    <n v="2"/>
    <n v="65000"/>
    <n v="5"/>
    <n v="123500"/>
    <n v="27050.7"/>
    <x v="4"/>
    <s v="Completed"/>
    <x v="2"/>
  </r>
  <r>
    <s v="ORD10254"/>
    <x v="148"/>
    <x v="0"/>
    <x v="6"/>
    <s v="CUST1046"/>
    <x v="125"/>
    <s v="Female"/>
    <n v="55"/>
    <s v="Delhi"/>
    <s v="Delhi"/>
    <x v="1"/>
    <x v="2"/>
    <s v="Apparel"/>
    <x v="10"/>
    <n v="3"/>
    <n v="800"/>
    <n v="20"/>
    <n v="1920"/>
    <n v="459.94"/>
    <x v="1"/>
    <s v="Completed"/>
    <x v="2"/>
  </r>
  <r>
    <s v="ORD10255"/>
    <x v="108"/>
    <x v="1"/>
    <x v="8"/>
    <s v="CUST1015"/>
    <x v="76"/>
    <s v="Male"/>
    <n v="27"/>
    <s v="Ahmedabad"/>
    <s v="Gujarat"/>
    <x v="0"/>
    <x v="0"/>
    <s v="Gadgets"/>
    <x v="3"/>
    <n v="3"/>
    <n v="25000"/>
    <n v="10"/>
    <n v="67500"/>
    <n v="13668.61"/>
    <x v="4"/>
    <s v="Completed"/>
    <x v="2"/>
  </r>
  <r>
    <s v="ORD10256"/>
    <x v="196"/>
    <x v="1"/>
    <x v="5"/>
    <s v="CUST1117"/>
    <x v="86"/>
    <s v="Male"/>
    <n v="29"/>
    <s v="Pune"/>
    <s v="Maharashtra"/>
    <x v="0"/>
    <x v="2"/>
    <s v="Apparel"/>
    <x v="10"/>
    <n v="1"/>
    <n v="800"/>
    <n v="20"/>
    <n v="640"/>
    <n v="92.69"/>
    <x v="4"/>
    <s v="Cancelled"/>
    <x v="4"/>
  </r>
  <r>
    <s v="ORD10257"/>
    <x v="197"/>
    <x v="1"/>
    <x v="10"/>
    <s v="CUST1067"/>
    <x v="136"/>
    <s v="Female"/>
    <n v="22"/>
    <s v="Kolkata"/>
    <s v="West Bengal"/>
    <x v="3"/>
    <x v="2"/>
    <s v="Apparel"/>
    <x v="6"/>
    <n v="3"/>
    <n v="3500"/>
    <n v="10"/>
    <n v="9450"/>
    <n v="1673.9"/>
    <x v="4"/>
    <s v="Pending"/>
    <x v="0"/>
  </r>
  <r>
    <s v="ORD10258"/>
    <x v="66"/>
    <x v="0"/>
    <x v="2"/>
    <s v="CUST1081"/>
    <x v="89"/>
    <s v="Female"/>
    <n v="33"/>
    <s v="Mumbai"/>
    <s v="Maharashtra"/>
    <x v="0"/>
    <x v="2"/>
    <s v="Apparel"/>
    <x v="4"/>
    <n v="1"/>
    <n v="1800"/>
    <n v="0"/>
    <n v="1800"/>
    <n v="489.9"/>
    <x v="4"/>
    <s v="Completed"/>
    <x v="5"/>
  </r>
  <r>
    <s v="ORD10259"/>
    <x v="198"/>
    <x v="1"/>
    <x v="11"/>
    <s v="CUST1008"/>
    <x v="137"/>
    <s v="Female"/>
    <n v="54"/>
    <s v="Delhi"/>
    <s v="Delhi"/>
    <x v="1"/>
    <x v="1"/>
    <s v="Stationery"/>
    <x v="2"/>
    <n v="1"/>
    <n v="150"/>
    <n v="20"/>
    <n v="120"/>
    <n v="33.14"/>
    <x v="3"/>
    <s v="Completed"/>
    <x v="1"/>
  </r>
  <r>
    <s v="ORD10260"/>
    <x v="199"/>
    <x v="0"/>
    <x v="7"/>
    <s v="CUST1071"/>
    <x v="1"/>
    <s v="Male"/>
    <n v="23"/>
    <s v="Pune"/>
    <s v="Maharashtra"/>
    <x v="0"/>
    <x v="0"/>
    <s v="Gadgets"/>
    <x v="3"/>
    <n v="4"/>
    <n v="25000"/>
    <n v="10"/>
    <n v="90000"/>
    <n v="21287.11"/>
    <x v="2"/>
    <s v="Completed"/>
    <x v="3"/>
  </r>
  <r>
    <s v="ORD10261"/>
    <x v="31"/>
    <x v="0"/>
    <x v="5"/>
    <s v="CUST1143"/>
    <x v="105"/>
    <s v="Male"/>
    <n v="24"/>
    <s v="Mumbai"/>
    <s v="Maharashtra"/>
    <x v="0"/>
    <x v="1"/>
    <s v="Stationery"/>
    <x v="2"/>
    <n v="4"/>
    <n v="150"/>
    <n v="0"/>
    <n v="600"/>
    <n v="56.06"/>
    <x v="3"/>
    <s v="Cancelled"/>
    <x v="2"/>
  </r>
  <r>
    <s v="ORD10262"/>
    <x v="200"/>
    <x v="1"/>
    <x v="1"/>
    <s v="CUST1106"/>
    <x v="138"/>
    <s v="Male"/>
    <n v="60"/>
    <s v="Kolkata"/>
    <s v="West Bengal"/>
    <x v="3"/>
    <x v="3"/>
    <s v="Home"/>
    <x v="5"/>
    <n v="4"/>
    <n v="9000"/>
    <n v="5"/>
    <n v="34200"/>
    <n v="6906.99"/>
    <x v="4"/>
    <s v="Cancelled"/>
    <x v="3"/>
  </r>
  <r>
    <s v="ORD10263"/>
    <x v="119"/>
    <x v="0"/>
    <x v="7"/>
    <s v="CUST1047"/>
    <x v="37"/>
    <s v="Male"/>
    <n v="48"/>
    <s v="Delhi"/>
    <s v="Delhi"/>
    <x v="1"/>
    <x v="1"/>
    <s v="Stationery"/>
    <x v="2"/>
    <n v="2"/>
    <n v="150"/>
    <n v="0"/>
    <n v="300"/>
    <n v="31.88"/>
    <x v="3"/>
    <s v="Pending"/>
    <x v="4"/>
  </r>
  <r>
    <s v="ORD10264"/>
    <x v="18"/>
    <x v="1"/>
    <x v="0"/>
    <s v="CUST1021"/>
    <x v="27"/>
    <s v="Female"/>
    <n v="31"/>
    <s v="Ahmedabad"/>
    <s v="Gujarat"/>
    <x v="0"/>
    <x v="2"/>
    <s v="Apparel"/>
    <x v="4"/>
    <n v="1"/>
    <n v="1800"/>
    <n v="0"/>
    <n v="1800"/>
    <n v="149.59"/>
    <x v="2"/>
    <s v="Completed"/>
    <x v="4"/>
  </r>
  <r>
    <s v="ORD10265"/>
    <x v="47"/>
    <x v="1"/>
    <x v="10"/>
    <s v="CUST1010"/>
    <x v="139"/>
    <s v="Male"/>
    <n v="52"/>
    <s v="Mumbai"/>
    <s v="Maharashtra"/>
    <x v="0"/>
    <x v="2"/>
    <s v="Apparel"/>
    <x v="6"/>
    <n v="3"/>
    <n v="3500"/>
    <n v="10"/>
    <n v="9450"/>
    <n v="855.38"/>
    <x v="4"/>
    <s v="Pending"/>
    <x v="5"/>
  </r>
  <r>
    <s v="ORD10266"/>
    <x v="201"/>
    <x v="1"/>
    <x v="8"/>
    <s v="CUST1127"/>
    <x v="23"/>
    <s v="Female"/>
    <n v="59"/>
    <s v="Bengaluru"/>
    <s v="Karnataka"/>
    <x v="2"/>
    <x v="1"/>
    <s v="Stationery"/>
    <x v="2"/>
    <n v="3"/>
    <n v="150"/>
    <n v="20"/>
    <n v="360"/>
    <n v="54.35"/>
    <x v="2"/>
    <s v="Completed"/>
    <x v="3"/>
  </r>
  <r>
    <s v="ORD10267"/>
    <x v="28"/>
    <x v="1"/>
    <x v="1"/>
    <s v="CUST1064"/>
    <x v="100"/>
    <s v="Male"/>
    <n v="45"/>
    <s v="Kolkata"/>
    <s v="West Bengal"/>
    <x v="3"/>
    <x v="0"/>
    <s v="Gadgets"/>
    <x v="9"/>
    <n v="1"/>
    <n v="65000"/>
    <n v="15"/>
    <n v="55250"/>
    <n v="5049.2700000000004"/>
    <x v="3"/>
    <s v="Completed"/>
    <x v="3"/>
  </r>
  <r>
    <s v="ORD10268"/>
    <x v="92"/>
    <x v="0"/>
    <x v="2"/>
    <s v="CUST1097"/>
    <x v="32"/>
    <s v="Female"/>
    <n v="24"/>
    <s v="Delhi"/>
    <s v="Delhi"/>
    <x v="1"/>
    <x v="1"/>
    <s v="Stationery"/>
    <x v="11"/>
    <n v="3"/>
    <n v="450"/>
    <n v="0"/>
    <n v="1350"/>
    <n v="311.58"/>
    <x v="0"/>
    <s v="Cancelled"/>
    <x v="0"/>
  </r>
  <r>
    <s v="ORD10269"/>
    <x v="202"/>
    <x v="1"/>
    <x v="0"/>
    <s v="CUST1133"/>
    <x v="73"/>
    <s v="Female"/>
    <n v="47"/>
    <s v="Chennai"/>
    <s v="Tamil Nadu"/>
    <x v="2"/>
    <x v="0"/>
    <s v="Gadgets"/>
    <x v="1"/>
    <n v="3"/>
    <n v="2500"/>
    <n v="20"/>
    <n v="6000"/>
    <n v="1344.57"/>
    <x v="2"/>
    <s v="Completed"/>
    <x v="5"/>
  </r>
  <r>
    <s v="ORD10270"/>
    <x v="68"/>
    <x v="0"/>
    <x v="6"/>
    <s v="CUST1091"/>
    <x v="53"/>
    <s v="Female"/>
    <n v="54"/>
    <s v="Hyderabad"/>
    <s v="Telangana"/>
    <x v="2"/>
    <x v="1"/>
    <s v="Stationery"/>
    <x v="11"/>
    <n v="4"/>
    <n v="450"/>
    <n v="20"/>
    <n v="1440"/>
    <n v="161.31"/>
    <x v="2"/>
    <s v="Pending"/>
    <x v="2"/>
  </r>
  <r>
    <s v="ORD10271"/>
    <x v="203"/>
    <x v="0"/>
    <x v="6"/>
    <s v="CUST1078"/>
    <x v="140"/>
    <s v="Male"/>
    <n v="25"/>
    <s v="Delhi"/>
    <s v="Delhi"/>
    <x v="1"/>
    <x v="2"/>
    <s v="Apparel"/>
    <x v="10"/>
    <n v="3"/>
    <n v="800"/>
    <n v="15"/>
    <n v="2040"/>
    <n v="412.99"/>
    <x v="3"/>
    <s v="Completed"/>
    <x v="1"/>
  </r>
  <r>
    <s v="ORD10272"/>
    <x v="78"/>
    <x v="0"/>
    <x v="6"/>
    <s v="CUST1031"/>
    <x v="17"/>
    <s v="Female"/>
    <n v="47"/>
    <s v="Chennai"/>
    <s v="Tamil Nadu"/>
    <x v="2"/>
    <x v="0"/>
    <s v="Gadgets"/>
    <x v="0"/>
    <n v="4"/>
    <n v="12000"/>
    <n v="15"/>
    <n v="40800"/>
    <n v="9882.5300000000007"/>
    <x v="3"/>
    <s v="Completed"/>
    <x v="2"/>
  </r>
  <r>
    <s v="ORD10273"/>
    <x v="111"/>
    <x v="1"/>
    <x v="6"/>
    <s v="CUST1023"/>
    <x v="112"/>
    <s v="Male"/>
    <n v="34"/>
    <s v="Bengaluru"/>
    <s v="Karnataka"/>
    <x v="2"/>
    <x v="2"/>
    <s v="Apparel"/>
    <x v="10"/>
    <n v="3"/>
    <n v="800"/>
    <n v="5"/>
    <n v="2280"/>
    <n v="309.85000000000002"/>
    <x v="0"/>
    <s v="Completed"/>
    <x v="0"/>
  </r>
  <r>
    <s v="ORD10274"/>
    <x v="157"/>
    <x v="1"/>
    <x v="5"/>
    <s v="CUST1102"/>
    <x v="141"/>
    <s v="Male"/>
    <n v="20"/>
    <s v="Mumbai"/>
    <s v="Maharashtra"/>
    <x v="0"/>
    <x v="1"/>
    <s v="Stationery"/>
    <x v="11"/>
    <n v="1"/>
    <n v="450"/>
    <n v="20"/>
    <n v="360"/>
    <n v="38.32"/>
    <x v="4"/>
    <s v="Completed"/>
    <x v="4"/>
  </r>
  <r>
    <s v="ORD10275"/>
    <x v="143"/>
    <x v="0"/>
    <x v="6"/>
    <s v="CUST1092"/>
    <x v="77"/>
    <s v="Female"/>
    <n v="52"/>
    <s v="Bengaluru"/>
    <s v="Karnataka"/>
    <x v="2"/>
    <x v="2"/>
    <s v="Apparel"/>
    <x v="4"/>
    <n v="2"/>
    <n v="1800"/>
    <n v="0"/>
    <n v="3600"/>
    <n v="356.09"/>
    <x v="0"/>
    <s v="Cancelled"/>
    <x v="5"/>
  </r>
  <r>
    <s v="ORD10276"/>
    <x v="190"/>
    <x v="1"/>
    <x v="2"/>
    <s v="CUST1129"/>
    <x v="84"/>
    <s v="Male"/>
    <n v="41"/>
    <s v="Mumbai"/>
    <s v="Maharashtra"/>
    <x v="0"/>
    <x v="3"/>
    <s v="Home"/>
    <x v="5"/>
    <n v="3"/>
    <n v="9000"/>
    <n v="10"/>
    <n v="24300"/>
    <n v="4660.72"/>
    <x v="4"/>
    <s v="Completed"/>
    <x v="4"/>
  </r>
  <r>
    <s v="ORD10277"/>
    <x v="204"/>
    <x v="1"/>
    <x v="8"/>
    <s v="CUST1045"/>
    <x v="118"/>
    <s v="Female"/>
    <n v="52"/>
    <s v="Pune"/>
    <s v="Maharashtra"/>
    <x v="0"/>
    <x v="0"/>
    <s v="Gadgets"/>
    <x v="9"/>
    <n v="3"/>
    <n v="65000"/>
    <n v="20"/>
    <n v="156000"/>
    <n v="14479.85"/>
    <x v="2"/>
    <s v="Cancelled"/>
    <x v="2"/>
  </r>
  <r>
    <s v="ORD10278"/>
    <x v="15"/>
    <x v="1"/>
    <x v="0"/>
    <s v="CUST1019"/>
    <x v="57"/>
    <s v="Female"/>
    <n v="38"/>
    <s v="Kolkata"/>
    <s v="West Bengal"/>
    <x v="3"/>
    <x v="2"/>
    <s v="Apparel"/>
    <x v="10"/>
    <n v="3"/>
    <n v="800"/>
    <n v="15"/>
    <n v="2040"/>
    <n v="487.56"/>
    <x v="4"/>
    <s v="Completed"/>
    <x v="3"/>
  </r>
  <r>
    <s v="ORD10279"/>
    <x v="205"/>
    <x v="0"/>
    <x v="6"/>
    <s v="CUST1096"/>
    <x v="39"/>
    <s v="Female"/>
    <n v="38"/>
    <s v="Delhi"/>
    <s v="Delhi"/>
    <x v="1"/>
    <x v="0"/>
    <s v="Gadgets"/>
    <x v="3"/>
    <n v="5"/>
    <n v="25000"/>
    <n v="10"/>
    <n v="112500"/>
    <n v="15971.84"/>
    <x v="4"/>
    <s v="Cancelled"/>
    <x v="3"/>
  </r>
  <r>
    <s v="ORD10280"/>
    <x v="151"/>
    <x v="1"/>
    <x v="11"/>
    <s v="CUST1018"/>
    <x v="142"/>
    <s v="Female"/>
    <n v="56"/>
    <s v="Hyderabad"/>
    <s v="Telangana"/>
    <x v="2"/>
    <x v="0"/>
    <s v="Gadgets"/>
    <x v="3"/>
    <n v="4"/>
    <n v="25000"/>
    <n v="0"/>
    <n v="100000"/>
    <n v="26283.82"/>
    <x v="4"/>
    <s v="Cancelled"/>
    <x v="4"/>
  </r>
  <r>
    <s v="ORD10281"/>
    <x v="206"/>
    <x v="1"/>
    <x v="9"/>
    <s v="CUST1029"/>
    <x v="140"/>
    <s v="Female"/>
    <n v="33"/>
    <s v="Pune"/>
    <s v="Maharashtra"/>
    <x v="0"/>
    <x v="2"/>
    <s v="Apparel"/>
    <x v="6"/>
    <n v="3"/>
    <n v="3500"/>
    <n v="15"/>
    <n v="8925"/>
    <n v="2168.4899999999998"/>
    <x v="2"/>
    <s v="Completed"/>
    <x v="5"/>
  </r>
  <r>
    <s v="ORD10282"/>
    <x v="207"/>
    <x v="1"/>
    <x v="1"/>
    <s v="CUST1066"/>
    <x v="143"/>
    <s v="Female"/>
    <n v="29"/>
    <s v="Hyderabad"/>
    <s v="Telangana"/>
    <x v="2"/>
    <x v="1"/>
    <s v="Stationery"/>
    <x v="2"/>
    <n v="2"/>
    <n v="150"/>
    <n v="5"/>
    <n v="285"/>
    <n v="29.4"/>
    <x v="1"/>
    <s v="Cancelled"/>
    <x v="0"/>
  </r>
  <r>
    <s v="ORD10283"/>
    <x v="208"/>
    <x v="1"/>
    <x v="6"/>
    <s v="CUST1118"/>
    <x v="88"/>
    <s v="Male"/>
    <n v="29"/>
    <s v="Ahmedabad"/>
    <s v="Gujarat"/>
    <x v="0"/>
    <x v="2"/>
    <s v="Apparel"/>
    <x v="10"/>
    <n v="5"/>
    <n v="800"/>
    <n v="5"/>
    <n v="3800"/>
    <n v="834.01"/>
    <x v="2"/>
    <s v="Completed"/>
    <x v="0"/>
  </r>
  <r>
    <s v="ORD10284"/>
    <x v="209"/>
    <x v="1"/>
    <x v="6"/>
    <s v="CUST1079"/>
    <x v="79"/>
    <s v="Female"/>
    <n v="33"/>
    <s v="Hyderabad"/>
    <s v="Telangana"/>
    <x v="2"/>
    <x v="2"/>
    <s v="Apparel"/>
    <x v="4"/>
    <n v="4"/>
    <n v="1800"/>
    <n v="0"/>
    <n v="7200"/>
    <n v="898.26"/>
    <x v="2"/>
    <s v="Completed"/>
    <x v="2"/>
  </r>
  <r>
    <s v="ORD10285"/>
    <x v="27"/>
    <x v="0"/>
    <x v="6"/>
    <s v="CUST1112"/>
    <x v="29"/>
    <s v="Female"/>
    <n v="54"/>
    <s v="Chennai"/>
    <s v="Tamil Nadu"/>
    <x v="2"/>
    <x v="1"/>
    <s v="Stationery"/>
    <x v="11"/>
    <n v="4"/>
    <n v="450"/>
    <n v="20"/>
    <n v="1440"/>
    <n v="231.63"/>
    <x v="0"/>
    <s v="Completed"/>
    <x v="1"/>
  </r>
  <r>
    <s v="ORD10286"/>
    <x v="210"/>
    <x v="1"/>
    <x v="7"/>
    <s v="CUST1062"/>
    <x v="36"/>
    <s v="Male"/>
    <n v="48"/>
    <s v="Delhi"/>
    <s v="Delhi"/>
    <x v="1"/>
    <x v="2"/>
    <s v="Apparel"/>
    <x v="10"/>
    <n v="2"/>
    <n v="800"/>
    <n v="0"/>
    <n v="1600"/>
    <n v="148.05000000000001"/>
    <x v="1"/>
    <s v="Pending"/>
    <x v="0"/>
  </r>
  <r>
    <s v="ORD10287"/>
    <x v="211"/>
    <x v="0"/>
    <x v="5"/>
    <s v="CUST1123"/>
    <x v="67"/>
    <s v="Female"/>
    <n v="29"/>
    <s v="Kolkata"/>
    <s v="West Bengal"/>
    <x v="3"/>
    <x v="3"/>
    <s v="Home"/>
    <x v="8"/>
    <n v="2"/>
    <n v="7000"/>
    <n v="10"/>
    <n v="12600"/>
    <n v="3263.01"/>
    <x v="3"/>
    <s v="Cancelled"/>
    <x v="4"/>
  </r>
  <r>
    <s v="ORD10288"/>
    <x v="212"/>
    <x v="0"/>
    <x v="6"/>
    <s v="CUST1027"/>
    <x v="83"/>
    <s v="Male"/>
    <n v="28"/>
    <s v="Hyderabad"/>
    <s v="Telangana"/>
    <x v="2"/>
    <x v="2"/>
    <s v="Apparel"/>
    <x v="4"/>
    <n v="4"/>
    <n v="1800"/>
    <n v="10"/>
    <n v="6480"/>
    <n v="758.96"/>
    <x v="4"/>
    <s v="Completed"/>
    <x v="2"/>
  </r>
  <r>
    <s v="ORD10289"/>
    <x v="213"/>
    <x v="1"/>
    <x v="3"/>
    <s v="CUST1059"/>
    <x v="119"/>
    <s v="Female"/>
    <n v="50"/>
    <s v="Kolkata"/>
    <s v="West Bengal"/>
    <x v="3"/>
    <x v="0"/>
    <s v="Gadgets"/>
    <x v="9"/>
    <n v="5"/>
    <n v="65000"/>
    <n v="20"/>
    <n v="260000"/>
    <n v="50766.03"/>
    <x v="1"/>
    <s v="Pending"/>
    <x v="5"/>
  </r>
  <r>
    <s v="ORD10290"/>
    <x v="214"/>
    <x v="1"/>
    <x v="2"/>
    <s v="CUST1129"/>
    <x v="58"/>
    <s v="Male"/>
    <n v="22"/>
    <s v="Kolkata"/>
    <s v="West Bengal"/>
    <x v="3"/>
    <x v="1"/>
    <s v="Stationery"/>
    <x v="7"/>
    <n v="2"/>
    <n v="120"/>
    <n v="20"/>
    <n v="192"/>
    <n v="18.690000000000001"/>
    <x v="4"/>
    <s v="Cancelled"/>
    <x v="2"/>
  </r>
  <r>
    <s v="ORD10291"/>
    <x v="5"/>
    <x v="0"/>
    <x v="1"/>
    <s v="CUST1119"/>
    <x v="75"/>
    <s v="Female"/>
    <n v="49"/>
    <s v="Ahmedabad"/>
    <s v="Gujarat"/>
    <x v="0"/>
    <x v="1"/>
    <s v="Stationery"/>
    <x v="7"/>
    <n v="4"/>
    <n v="120"/>
    <n v="15"/>
    <n v="408"/>
    <n v="34.74"/>
    <x v="3"/>
    <s v="Completed"/>
    <x v="4"/>
  </r>
  <r>
    <s v="ORD10292"/>
    <x v="47"/>
    <x v="1"/>
    <x v="10"/>
    <s v="CUST1074"/>
    <x v="144"/>
    <s v="Female"/>
    <n v="27"/>
    <s v="Pune"/>
    <s v="Maharashtra"/>
    <x v="0"/>
    <x v="2"/>
    <s v="Apparel"/>
    <x v="10"/>
    <n v="1"/>
    <n v="800"/>
    <n v="20"/>
    <n v="640"/>
    <n v="73.67"/>
    <x v="0"/>
    <s v="Cancelled"/>
    <x v="1"/>
  </r>
  <r>
    <s v="ORD10293"/>
    <x v="215"/>
    <x v="1"/>
    <x v="9"/>
    <s v="CUST1141"/>
    <x v="82"/>
    <s v="Female"/>
    <n v="27"/>
    <s v="Delhi"/>
    <s v="Delhi"/>
    <x v="1"/>
    <x v="3"/>
    <s v="Home"/>
    <x v="5"/>
    <n v="2"/>
    <n v="9000"/>
    <n v="5"/>
    <n v="17100"/>
    <n v="4447.3100000000004"/>
    <x v="3"/>
    <s v="Completed"/>
    <x v="3"/>
  </r>
  <r>
    <s v="ORD10294"/>
    <x v="216"/>
    <x v="1"/>
    <x v="7"/>
    <s v="CUST1055"/>
    <x v="35"/>
    <s v="Male"/>
    <n v="56"/>
    <s v="Ahmedabad"/>
    <s v="Gujarat"/>
    <x v="0"/>
    <x v="2"/>
    <s v="Apparel"/>
    <x v="10"/>
    <n v="2"/>
    <n v="800"/>
    <n v="0"/>
    <n v="1600"/>
    <n v="445.75"/>
    <x v="2"/>
    <s v="Completed"/>
    <x v="1"/>
  </r>
  <r>
    <s v="ORD10295"/>
    <x v="217"/>
    <x v="1"/>
    <x v="9"/>
    <s v="CUST1121"/>
    <x v="77"/>
    <s v="Male"/>
    <n v="44"/>
    <s v="Chennai"/>
    <s v="Tamil Nadu"/>
    <x v="2"/>
    <x v="1"/>
    <s v="Stationery"/>
    <x v="2"/>
    <n v="3"/>
    <n v="150"/>
    <n v="5"/>
    <n v="427.5"/>
    <n v="47.28"/>
    <x v="1"/>
    <s v="Cancelled"/>
    <x v="5"/>
  </r>
  <r>
    <s v="ORD10296"/>
    <x v="218"/>
    <x v="0"/>
    <x v="0"/>
    <s v="CUST1130"/>
    <x v="10"/>
    <s v="Female"/>
    <n v="53"/>
    <s v="Bengaluru"/>
    <s v="Karnataka"/>
    <x v="2"/>
    <x v="0"/>
    <s v="Gadgets"/>
    <x v="1"/>
    <n v="2"/>
    <n v="2500"/>
    <n v="20"/>
    <n v="4000"/>
    <n v="570.80999999999995"/>
    <x v="2"/>
    <s v="Completed"/>
    <x v="4"/>
  </r>
  <r>
    <s v="ORD10297"/>
    <x v="179"/>
    <x v="1"/>
    <x v="10"/>
    <s v="CUST1118"/>
    <x v="83"/>
    <s v="Female"/>
    <n v="35"/>
    <s v="Ahmedabad"/>
    <s v="Gujarat"/>
    <x v="0"/>
    <x v="0"/>
    <s v="Gadgets"/>
    <x v="3"/>
    <n v="1"/>
    <n v="25000"/>
    <n v="15"/>
    <n v="21250"/>
    <n v="3204.28"/>
    <x v="4"/>
    <s v="Completed"/>
    <x v="1"/>
  </r>
  <r>
    <s v="ORD10298"/>
    <x v="195"/>
    <x v="1"/>
    <x v="2"/>
    <s v="CUST1032"/>
    <x v="46"/>
    <s v="Female"/>
    <n v="51"/>
    <s v="Chennai"/>
    <s v="Tamil Nadu"/>
    <x v="2"/>
    <x v="2"/>
    <s v="Apparel"/>
    <x v="10"/>
    <n v="3"/>
    <n v="800"/>
    <n v="20"/>
    <n v="1920"/>
    <n v="432.32"/>
    <x v="1"/>
    <s v="Completed"/>
    <x v="4"/>
  </r>
  <r>
    <s v="ORD10299"/>
    <x v="219"/>
    <x v="0"/>
    <x v="2"/>
    <s v="CUST1081"/>
    <x v="144"/>
    <s v="Female"/>
    <n v="28"/>
    <s v="Hyderabad"/>
    <s v="Telangana"/>
    <x v="2"/>
    <x v="2"/>
    <s v="Apparel"/>
    <x v="6"/>
    <n v="1"/>
    <n v="3500"/>
    <n v="15"/>
    <n v="2975"/>
    <n v="782.41"/>
    <x v="3"/>
    <s v="Completed"/>
    <x v="2"/>
  </r>
  <r>
    <s v="ORD10300"/>
    <x v="111"/>
    <x v="1"/>
    <x v="6"/>
    <s v="CUST1133"/>
    <x v="118"/>
    <s v="Male"/>
    <n v="34"/>
    <s v="Chennai"/>
    <s v="Tamil Nadu"/>
    <x v="2"/>
    <x v="2"/>
    <s v="Apparel"/>
    <x v="6"/>
    <n v="3"/>
    <n v="3500"/>
    <n v="15"/>
    <n v="8925"/>
    <n v="1669.36"/>
    <x v="3"/>
    <s v="Pending"/>
    <x v="4"/>
  </r>
  <r>
    <s v="ORD10301"/>
    <x v="220"/>
    <x v="1"/>
    <x v="9"/>
    <s v="CUST1083"/>
    <x v="0"/>
    <s v="Male"/>
    <n v="59"/>
    <s v="Bengaluru"/>
    <s v="Karnataka"/>
    <x v="2"/>
    <x v="0"/>
    <s v="Gadgets"/>
    <x v="3"/>
    <n v="4"/>
    <n v="25000"/>
    <n v="5"/>
    <n v="95000"/>
    <n v="10121.24"/>
    <x v="0"/>
    <s v="Pending"/>
    <x v="3"/>
  </r>
  <r>
    <s v="ORD10302"/>
    <x v="221"/>
    <x v="0"/>
    <x v="1"/>
    <s v="CUST1056"/>
    <x v="113"/>
    <s v="Male"/>
    <n v="43"/>
    <s v="Bengaluru"/>
    <s v="Karnataka"/>
    <x v="2"/>
    <x v="1"/>
    <s v="Stationery"/>
    <x v="7"/>
    <n v="5"/>
    <n v="120"/>
    <n v="10"/>
    <n v="540"/>
    <n v="75.67"/>
    <x v="0"/>
    <s v="Cancelled"/>
    <x v="5"/>
  </r>
  <r>
    <s v="ORD10303"/>
    <x v="222"/>
    <x v="0"/>
    <x v="5"/>
    <s v="CUST1064"/>
    <x v="143"/>
    <s v="Female"/>
    <n v="48"/>
    <s v="Chennai"/>
    <s v="Tamil Nadu"/>
    <x v="2"/>
    <x v="0"/>
    <s v="Gadgets"/>
    <x v="0"/>
    <n v="4"/>
    <n v="12000"/>
    <n v="20"/>
    <n v="38400"/>
    <n v="6650.79"/>
    <x v="4"/>
    <s v="Completed"/>
    <x v="2"/>
  </r>
  <r>
    <s v="ORD10304"/>
    <x v="9"/>
    <x v="1"/>
    <x v="4"/>
    <s v="CUST1122"/>
    <x v="145"/>
    <s v="Female"/>
    <n v="56"/>
    <s v="Hyderabad"/>
    <s v="Telangana"/>
    <x v="2"/>
    <x v="1"/>
    <s v="Stationery"/>
    <x v="11"/>
    <n v="2"/>
    <n v="450"/>
    <n v="10"/>
    <n v="810"/>
    <n v="225.74"/>
    <x v="1"/>
    <s v="Completed"/>
    <x v="3"/>
  </r>
  <r>
    <s v="ORD10305"/>
    <x v="223"/>
    <x v="1"/>
    <x v="0"/>
    <s v="CUST1119"/>
    <x v="146"/>
    <s v="Female"/>
    <n v="50"/>
    <s v="Pune"/>
    <s v="Maharashtra"/>
    <x v="0"/>
    <x v="3"/>
    <s v="Home"/>
    <x v="8"/>
    <n v="3"/>
    <n v="7000"/>
    <n v="5"/>
    <n v="19950"/>
    <n v="3197.56"/>
    <x v="1"/>
    <s v="Completed"/>
    <x v="2"/>
  </r>
  <r>
    <s v="ORD10306"/>
    <x v="26"/>
    <x v="1"/>
    <x v="1"/>
    <s v="CUST1140"/>
    <x v="125"/>
    <s v="Male"/>
    <n v="21"/>
    <s v="Hyderabad"/>
    <s v="Telangana"/>
    <x v="2"/>
    <x v="1"/>
    <s v="Stationery"/>
    <x v="2"/>
    <n v="1"/>
    <n v="150"/>
    <n v="10"/>
    <n v="135"/>
    <n v="23.1"/>
    <x v="1"/>
    <s v="Completed"/>
    <x v="1"/>
  </r>
  <r>
    <s v="ORD10307"/>
    <x v="14"/>
    <x v="1"/>
    <x v="6"/>
    <s v="CUST1012"/>
    <x v="12"/>
    <s v="Male"/>
    <n v="35"/>
    <s v="Pune"/>
    <s v="Maharashtra"/>
    <x v="0"/>
    <x v="0"/>
    <s v="Gadgets"/>
    <x v="9"/>
    <n v="3"/>
    <n v="65000"/>
    <n v="10"/>
    <n v="175500"/>
    <n v="25812.28"/>
    <x v="1"/>
    <s v="Pending"/>
    <x v="2"/>
  </r>
  <r>
    <s v="ORD10308"/>
    <x v="59"/>
    <x v="1"/>
    <x v="5"/>
    <s v="CUST1124"/>
    <x v="35"/>
    <s v="Female"/>
    <n v="32"/>
    <s v="Delhi"/>
    <s v="Delhi"/>
    <x v="1"/>
    <x v="3"/>
    <s v="Home"/>
    <x v="8"/>
    <n v="4"/>
    <n v="7000"/>
    <n v="0"/>
    <n v="28000"/>
    <n v="2907.23"/>
    <x v="3"/>
    <s v="Cancelled"/>
    <x v="5"/>
  </r>
  <r>
    <s v="ORD10309"/>
    <x v="224"/>
    <x v="0"/>
    <x v="2"/>
    <s v="CUST1117"/>
    <x v="147"/>
    <s v="Female"/>
    <n v="52"/>
    <s v="Pune"/>
    <s v="Maharashtra"/>
    <x v="0"/>
    <x v="2"/>
    <s v="Apparel"/>
    <x v="10"/>
    <n v="1"/>
    <n v="800"/>
    <n v="5"/>
    <n v="760"/>
    <n v="106.48"/>
    <x v="1"/>
    <s v="Completed"/>
    <x v="4"/>
  </r>
  <r>
    <s v="ORD10310"/>
    <x v="225"/>
    <x v="0"/>
    <x v="0"/>
    <s v="CUST1087"/>
    <x v="67"/>
    <s v="Female"/>
    <n v="40"/>
    <s v="Pune"/>
    <s v="Maharashtra"/>
    <x v="0"/>
    <x v="0"/>
    <s v="Gadgets"/>
    <x v="3"/>
    <n v="3"/>
    <n v="25000"/>
    <n v="0"/>
    <n v="75000"/>
    <n v="19488.509999999998"/>
    <x v="0"/>
    <s v="Completed"/>
    <x v="0"/>
  </r>
  <r>
    <s v="ORD10311"/>
    <x v="180"/>
    <x v="1"/>
    <x v="0"/>
    <s v="CUST1085"/>
    <x v="142"/>
    <s v="Female"/>
    <n v="22"/>
    <s v="Pune"/>
    <s v="Maharashtra"/>
    <x v="0"/>
    <x v="2"/>
    <s v="Apparel"/>
    <x v="10"/>
    <n v="2"/>
    <n v="800"/>
    <n v="0"/>
    <n v="1600"/>
    <n v="339.33"/>
    <x v="4"/>
    <s v="Completed"/>
    <x v="1"/>
  </r>
  <r>
    <s v="ORD10312"/>
    <x v="226"/>
    <x v="0"/>
    <x v="5"/>
    <s v="CUST1098"/>
    <x v="66"/>
    <s v="Male"/>
    <n v="53"/>
    <s v="Pune"/>
    <s v="Maharashtra"/>
    <x v="0"/>
    <x v="3"/>
    <s v="Home"/>
    <x v="5"/>
    <n v="3"/>
    <n v="9000"/>
    <n v="20"/>
    <n v="21600"/>
    <n v="2456.58"/>
    <x v="4"/>
    <s v="Pending"/>
    <x v="2"/>
  </r>
  <r>
    <s v="ORD10313"/>
    <x v="108"/>
    <x v="1"/>
    <x v="8"/>
    <s v="CUST1060"/>
    <x v="82"/>
    <s v="Female"/>
    <n v="32"/>
    <s v="Mumbai"/>
    <s v="Maharashtra"/>
    <x v="0"/>
    <x v="0"/>
    <s v="Gadgets"/>
    <x v="9"/>
    <n v="2"/>
    <n v="65000"/>
    <n v="5"/>
    <n v="123500"/>
    <n v="32179.86"/>
    <x v="3"/>
    <s v="Completed"/>
    <x v="5"/>
  </r>
  <r>
    <s v="ORD10314"/>
    <x v="102"/>
    <x v="1"/>
    <x v="7"/>
    <s v="CUST1006"/>
    <x v="136"/>
    <s v="Female"/>
    <n v="27"/>
    <s v="Pune"/>
    <s v="Maharashtra"/>
    <x v="0"/>
    <x v="3"/>
    <s v="Home"/>
    <x v="12"/>
    <n v="4"/>
    <n v="6000"/>
    <n v="15"/>
    <n v="20400"/>
    <n v="4599.45"/>
    <x v="2"/>
    <s v="Pending"/>
    <x v="3"/>
  </r>
  <r>
    <s v="ORD10315"/>
    <x v="227"/>
    <x v="1"/>
    <x v="1"/>
    <s v="CUST1053"/>
    <x v="68"/>
    <s v="Female"/>
    <n v="26"/>
    <s v="Pune"/>
    <s v="Maharashtra"/>
    <x v="0"/>
    <x v="2"/>
    <s v="Apparel"/>
    <x v="10"/>
    <n v="3"/>
    <n v="800"/>
    <n v="10"/>
    <n v="2160"/>
    <n v="434.46"/>
    <x v="0"/>
    <s v="Cancelled"/>
    <x v="1"/>
  </r>
  <r>
    <s v="ORD10316"/>
    <x v="9"/>
    <x v="1"/>
    <x v="4"/>
    <s v="CUST1008"/>
    <x v="109"/>
    <s v="Female"/>
    <n v="26"/>
    <s v="Delhi"/>
    <s v="Delhi"/>
    <x v="1"/>
    <x v="3"/>
    <s v="Home"/>
    <x v="5"/>
    <n v="4"/>
    <n v="9000"/>
    <n v="15"/>
    <n v="30600"/>
    <n v="4643.93"/>
    <x v="1"/>
    <s v="Completed"/>
    <x v="0"/>
  </r>
  <r>
    <s v="ORD10317"/>
    <x v="122"/>
    <x v="1"/>
    <x v="9"/>
    <s v="CUST1084"/>
    <x v="25"/>
    <s v="Female"/>
    <n v="45"/>
    <s v="Mumbai"/>
    <s v="Maharashtra"/>
    <x v="0"/>
    <x v="0"/>
    <s v="Gadgets"/>
    <x v="0"/>
    <n v="3"/>
    <n v="12000"/>
    <n v="15"/>
    <n v="30600"/>
    <n v="6550.65"/>
    <x v="3"/>
    <s v="Completed"/>
    <x v="1"/>
  </r>
  <r>
    <s v="ORD10318"/>
    <x v="228"/>
    <x v="1"/>
    <x v="9"/>
    <s v="CUST1090"/>
    <x v="37"/>
    <s v="Male"/>
    <n v="46"/>
    <s v="Chennai"/>
    <s v="Tamil Nadu"/>
    <x v="2"/>
    <x v="3"/>
    <s v="Home"/>
    <x v="12"/>
    <n v="5"/>
    <n v="6000"/>
    <n v="0"/>
    <n v="30000"/>
    <n v="3924.67"/>
    <x v="1"/>
    <s v="Completed"/>
    <x v="3"/>
  </r>
  <r>
    <s v="ORD10319"/>
    <x v="229"/>
    <x v="1"/>
    <x v="7"/>
    <s v="CUST1112"/>
    <x v="117"/>
    <s v="Male"/>
    <n v="25"/>
    <s v="Kolkata"/>
    <s v="West Bengal"/>
    <x v="3"/>
    <x v="0"/>
    <s v="Gadgets"/>
    <x v="9"/>
    <n v="4"/>
    <n v="65000"/>
    <n v="5"/>
    <n v="247000"/>
    <n v="55968.86"/>
    <x v="0"/>
    <s v="Pending"/>
    <x v="4"/>
  </r>
  <r>
    <s v="ORD10320"/>
    <x v="179"/>
    <x v="1"/>
    <x v="10"/>
    <s v="CUST1084"/>
    <x v="103"/>
    <s v="Female"/>
    <n v="36"/>
    <s v="Bengaluru"/>
    <s v="Karnataka"/>
    <x v="2"/>
    <x v="1"/>
    <s v="Stationery"/>
    <x v="2"/>
    <n v="2"/>
    <n v="150"/>
    <n v="15"/>
    <n v="255"/>
    <n v="31.87"/>
    <x v="2"/>
    <s v="Pending"/>
    <x v="4"/>
  </r>
  <r>
    <s v="ORD10321"/>
    <x v="230"/>
    <x v="1"/>
    <x v="4"/>
    <s v="CUST1008"/>
    <x v="148"/>
    <s v="Female"/>
    <n v="24"/>
    <s v="Mumbai"/>
    <s v="Maharashtra"/>
    <x v="0"/>
    <x v="1"/>
    <s v="Stationery"/>
    <x v="2"/>
    <n v="5"/>
    <n v="150"/>
    <n v="15"/>
    <n v="637.5"/>
    <n v="101.03"/>
    <x v="2"/>
    <s v="Completed"/>
    <x v="5"/>
  </r>
  <r>
    <s v="ORD10322"/>
    <x v="231"/>
    <x v="1"/>
    <x v="5"/>
    <s v="CUST1120"/>
    <x v="109"/>
    <s v="Female"/>
    <n v="50"/>
    <s v="Mumbai"/>
    <s v="Maharashtra"/>
    <x v="0"/>
    <x v="1"/>
    <s v="Stationery"/>
    <x v="7"/>
    <n v="3"/>
    <n v="120"/>
    <n v="15"/>
    <n v="306"/>
    <n v="35.39"/>
    <x v="2"/>
    <s v="Completed"/>
    <x v="1"/>
  </r>
  <r>
    <s v="ORD10323"/>
    <x v="150"/>
    <x v="1"/>
    <x v="9"/>
    <s v="CUST1008"/>
    <x v="139"/>
    <s v="Female"/>
    <n v="20"/>
    <s v="Kolkata"/>
    <s v="West Bengal"/>
    <x v="3"/>
    <x v="3"/>
    <s v="Home"/>
    <x v="8"/>
    <n v="2"/>
    <n v="7000"/>
    <n v="20"/>
    <n v="11200"/>
    <n v="3043.75"/>
    <x v="2"/>
    <s v="Completed"/>
    <x v="2"/>
  </r>
  <r>
    <s v="ORD10324"/>
    <x v="232"/>
    <x v="1"/>
    <x v="11"/>
    <s v="CUST1094"/>
    <x v="95"/>
    <s v="Female"/>
    <n v="47"/>
    <s v="Hyderabad"/>
    <s v="Telangana"/>
    <x v="2"/>
    <x v="2"/>
    <s v="Apparel"/>
    <x v="4"/>
    <n v="5"/>
    <n v="1800"/>
    <n v="15"/>
    <n v="7650"/>
    <n v="1292.05"/>
    <x v="2"/>
    <s v="Completed"/>
    <x v="3"/>
  </r>
  <r>
    <s v="ORD10325"/>
    <x v="134"/>
    <x v="1"/>
    <x v="6"/>
    <s v="CUST1018"/>
    <x v="25"/>
    <s v="Female"/>
    <n v="50"/>
    <s v="Chennai"/>
    <s v="Tamil Nadu"/>
    <x v="2"/>
    <x v="2"/>
    <s v="Apparel"/>
    <x v="4"/>
    <n v="2"/>
    <n v="1800"/>
    <n v="10"/>
    <n v="3240"/>
    <n v="639.66"/>
    <x v="0"/>
    <s v="Completed"/>
    <x v="5"/>
  </r>
  <r>
    <s v="ORD10326"/>
    <x v="233"/>
    <x v="1"/>
    <x v="0"/>
    <s v="CUST1119"/>
    <x v="115"/>
    <s v="Female"/>
    <n v="33"/>
    <s v="Mumbai"/>
    <s v="Maharashtra"/>
    <x v="0"/>
    <x v="1"/>
    <s v="Stationery"/>
    <x v="11"/>
    <n v="1"/>
    <n v="450"/>
    <n v="15"/>
    <n v="382.5"/>
    <n v="30.7"/>
    <x v="3"/>
    <s v="Completed"/>
    <x v="3"/>
  </r>
  <r>
    <s v="ORD10327"/>
    <x v="35"/>
    <x v="0"/>
    <x v="1"/>
    <s v="CUST1032"/>
    <x v="138"/>
    <s v="Male"/>
    <n v="41"/>
    <s v="Pune"/>
    <s v="Maharashtra"/>
    <x v="0"/>
    <x v="0"/>
    <s v="Gadgets"/>
    <x v="3"/>
    <n v="3"/>
    <n v="25000"/>
    <n v="20"/>
    <n v="60000"/>
    <n v="12075.78"/>
    <x v="3"/>
    <s v="Cancelled"/>
    <x v="5"/>
  </r>
  <r>
    <s v="ORD10328"/>
    <x v="234"/>
    <x v="0"/>
    <x v="6"/>
    <s v="CUST1015"/>
    <x v="136"/>
    <s v="Male"/>
    <n v="22"/>
    <s v="Mumbai"/>
    <s v="Maharashtra"/>
    <x v="0"/>
    <x v="3"/>
    <s v="Home"/>
    <x v="5"/>
    <n v="1"/>
    <n v="9000"/>
    <n v="10"/>
    <n v="8100"/>
    <n v="1749.18"/>
    <x v="3"/>
    <s v="Completed"/>
    <x v="3"/>
  </r>
  <r>
    <s v="ORD10329"/>
    <x v="235"/>
    <x v="1"/>
    <x v="10"/>
    <s v="CUST1140"/>
    <x v="149"/>
    <s v="Female"/>
    <n v="23"/>
    <s v="Pune"/>
    <s v="Maharashtra"/>
    <x v="0"/>
    <x v="1"/>
    <s v="Stationery"/>
    <x v="11"/>
    <n v="5"/>
    <n v="450"/>
    <n v="0"/>
    <n v="2250"/>
    <n v="607.14"/>
    <x v="0"/>
    <s v="Cancelled"/>
    <x v="0"/>
  </r>
  <r>
    <s v="ORD10330"/>
    <x v="236"/>
    <x v="1"/>
    <x v="11"/>
    <s v="CUST1082"/>
    <x v="150"/>
    <s v="Female"/>
    <n v="26"/>
    <s v="Bengaluru"/>
    <s v="Karnataka"/>
    <x v="2"/>
    <x v="3"/>
    <s v="Home"/>
    <x v="8"/>
    <n v="5"/>
    <n v="7000"/>
    <n v="0"/>
    <n v="35000"/>
    <n v="8628.2800000000007"/>
    <x v="0"/>
    <s v="Completed"/>
    <x v="5"/>
  </r>
  <r>
    <s v="ORD10331"/>
    <x v="237"/>
    <x v="1"/>
    <x v="7"/>
    <s v="CUST1121"/>
    <x v="106"/>
    <s v="Male"/>
    <n v="37"/>
    <s v="Bengaluru"/>
    <s v="Karnataka"/>
    <x v="2"/>
    <x v="1"/>
    <s v="Stationery"/>
    <x v="11"/>
    <n v="1"/>
    <n v="450"/>
    <n v="15"/>
    <n v="382.5"/>
    <n v="63.15"/>
    <x v="0"/>
    <s v="Completed"/>
    <x v="4"/>
  </r>
  <r>
    <s v="ORD10332"/>
    <x v="88"/>
    <x v="0"/>
    <x v="7"/>
    <s v="CUST1141"/>
    <x v="7"/>
    <s v="Female"/>
    <n v="57"/>
    <s v="Bengaluru"/>
    <s v="Karnataka"/>
    <x v="2"/>
    <x v="3"/>
    <s v="Home"/>
    <x v="12"/>
    <n v="2"/>
    <n v="6000"/>
    <n v="5"/>
    <n v="11400"/>
    <n v="1174.54"/>
    <x v="3"/>
    <s v="Pending"/>
    <x v="3"/>
  </r>
  <r>
    <s v="ORD10333"/>
    <x v="238"/>
    <x v="1"/>
    <x v="2"/>
    <s v="CUST1063"/>
    <x v="100"/>
    <s v="Male"/>
    <n v="53"/>
    <s v="Bengaluru"/>
    <s v="Karnataka"/>
    <x v="2"/>
    <x v="1"/>
    <s v="Stationery"/>
    <x v="7"/>
    <n v="3"/>
    <n v="120"/>
    <n v="0"/>
    <n v="360"/>
    <n v="81.430000000000007"/>
    <x v="0"/>
    <s v="Completed"/>
    <x v="5"/>
  </r>
  <r>
    <s v="ORD10334"/>
    <x v="239"/>
    <x v="1"/>
    <x v="3"/>
    <s v="CUST1105"/>
    <x v="37"/>
    <s v="Male"/>
    <n v="34"/>
    <s v="Delhi"/>
    <s v="Delhi"/>
    <x v="1"/>
    <x v="3"/>
    <s v="Home"/>
    <x v="12"/>
    <n v="5"/>
    <n v="6000"/>
    <n v="10"/>
    <n v="27000"/>
    <n v="4971.49"/>
    <x v="1"/>
    <s v="Pending"/>
    <x v="2"/>
  </r>
  <r>
    <s v="ORD10335"/>
    <x v="194"/>
    <x v="1"/>
    <x v="6"/>
    <s v="CUST1058"/>
    <x v="55"/>
    <s v="Female"/>
    <n v="42"/>
    <s v="Hyderabad"/>
    <s v="Telangana"/>
    <x v="2"/>
    <x v="0"/>
    <s v="Gadgets"/>
    <x v="0"/>
    <n v="1"/>
    <n v="12000"/>
    <n v="5"/>
    <n v="11400"/>
    <n v="1363.77"/>
    <x v="1"/>
    <s v="Pending"/>
    <x v="5"/>
  </r>
  <r>
    <s v="ORD10336"/>
    <x v="240"/>
    <x v="0"/>
    <x v="5"/>
    <s v="CUST1057"/>
    <x v="141"/>
    <s v="Female"/>
    <n v="20"/>
    <s v="Hyderabad"/>
    <s v="Telangana"/>
    <x v="2"/>
    <x v="0"/>
    <s v="Gadgets"/>
    <x v="9"/>
    <n v="5"/>
    <n v="65000"/>
    <n v="5"/>
    <n v="308750"/>
    <n v="76269.86"/>
    <x v="4"/>
    <s v="Cancelled"/>
    <x v="3"/>
  </r>
  <r>
    <s v="ORD10337"/>
    <x v="241"/>
    <x v="0"/>
    <x v="7"/>
    <s v="CUST1126"/>
    <x v="82"/>
    <s v="Male"/>
    <n v="30"/>
    <s v="Ahmedabad"/>
    <s v="Gujarat"/>
    <x v="0"/>
    <x v="0"/>
    <s v="Gadgets"/>
    <x v="0"/>
    <n v="1"/>
    <n v="12000"/>
    <n v="5"/>
    <n v="11400"/>
    <n v="969.42"/>
    <x v="2"/>
    <s v="Completed"/>
    <x v="2"/>
  </r>
  <r>
    <s v="ORD10338"/>
    <x v="242"/>
    <x v="1"/>
    <x v="2"/>
    <s v="CUST1126"/>
    <x v="115"/>
    <s v="Male"/>
    <n v="50"/>
    <s v="Hyderabad"/>
    <s v="Telangana"/>
    <x v="2"/>
    <x v="2"/>
    <s v="Apparel"/>
    <x v="4"/>
    <n v="3"/>
    <n v="1800"/>
    <n v="15"/>
    <n v="4590"/>
    <n v="857.53"/>
    <x v="4"/>
    <s v="Completed"/>
    <x v="5"/>
  </r>
  <r>
    <s v="ORD10339"/>
    <x v="243"/>
    <x v="0"/>
    <x v="7"/>
    <s v="CUST1077"/>
    <x v="1"/>
    <s v="Male"/>
    <n v="20"/>
    <s v="Hyderabad"/>
    <s v="Telangana"/>
    <x v="2"/>
    <x v="1"/>
    <s v="Stationery"/>
    <x v="11"/>
    <n v="1"/>
    <n v="450"/>
    <n v="0"/>
    <n v="450"/>
    <n v="76.11"/>
    <x v="1"/>
    <s v="Completed"/>
    <x v="0"/>
  </r>
  <r>
    <s v="ORD10340"/>
    <x v="244"/>
    <x v="0"/>
    <x v="2"/>
    <s v="CUST1027"/>
    <x v="124"/>
    <s v="Female"/>
    <n v="50"/>
    <s v="Kolkata"/>
    <s v="West Bengal"/>
    <x v="3"/>
    <x v="1"/>
    <s v="Stationery"/>
    <x v="11"/>
    <n v="1"/>
    <n v="450"/>
    <n v="20"/>
    <n v="360"/>
    <n v="83.06"/>
    <x v="3"/>
    <s v="Pending"/>
    <x v="4"/>
  </r>
  <r>
    <s v="ORD10341"/>
    <x v="8"/>
    <x v="0"/>
    <x v="2"/>
    <s v="CUST1110"/>
    <x v="151"/>
    <s v="Female"/>
    <n v="33"/>
    <s v="Mumbai"/>
    <s v="Maharashtra"/>
    <x v="0"/>
    <x v="1"/>
    <s v="Stationery"/>
    <x v="7"/>
    <n v="3"/>
    <n v="120"/>
    <n v="0"/>
    <n v="360"/>
    <n v="71.53"/>
    <x v="4"/>
    <s v="Completed"/>
    <x v="5"/>
  </r>
  <r>
    <s v="ORD10342"/>
    <x v="245"/>
    <x v="0"/>
    <x v="5"/>
    <s v="CUST1130"/>
    <x v="126"/>
    <s v="Female"/>
    <n v="39"/>
    <s v="Hyderabad"/>
    <s v="Telangana"/>
    <x v="2"/>
    <x v="1"/>
    <s v="Stationery"/>
    <x v="11"/>
    <n v="4"/>
    <n v="450"/>
    <n v="0"/>
    <n v="1800"/>
    <n v="442.82"/>
    <x v="0"/>
    <s v="Pending"/>
    <x v="5"/>
  </r>
  <r>
    <s v="ORD10343"/>
    <x v="154"/>
    <x v="0"/>
    <x v="5"/>
    <s v="CUST1149"/>
    <x v="20"/>
    <s v="Female"/>
    <n v="38"/>
    <s v="Hyderabad"/>
    <s v="Telangana"/>
    <x v="2"/>
    <x v="2"/>
    <s v="Apparel"/>
    <x v="4"/>
    <n v="3"/>
    <n v="1800"/>
    <n v="20"/>
    <n v="4320"/>
    <n v="592.97"/>
    <x v="2"/>
    <s v="Cancelled"/>
    <x v="1"/>
  </r>
  <r>
    <s v="ORD10344"/>
    <x v="246"/>
    <x v="1"/>
    <x v="9"/>
    <s v="CUST1054"/>
    <x v="147"/>
    <s v="Male"/>
    <n v="49"/>
    <s v="Mumbai"/>
    <s v="Maharashtra"/>
    <x v="0"/>
    <x v="2"/>
    <s v="Apparel"/>
    <x v="6"/>
    <n v="2"/>
    <n v="3500"/>
    <n v="5"/>
    <n v="6650"/>
    <n v="1752.12"/>
    <x v="0"/>
    <s v="Pending"/>
    <x v="2"/>
  </r>
  <r>
    <s v="ORD10345"/>
    <x v="76"/>
    <x v="1"/>
    <x v="3"/>
    <s v="CUST1119"/>
    <x v="10"/>
    <s v="Male"/>
    <n v="33"/>
    <s v="Hyderabad"/>
    <s v="Telangana"/>
    <x v="2"/>
    <x v="3"/>
    <s v="Home"/>
    <x v="5"/>
    <n v="3"/>
    <n v="9000"/>
    <n v="0"/>
    <n v="27000"/>
    <n v="4392.0600000000004"/>
    <x v="0"/>
    <s v="Completed"/>
    <x v="0"/>
  </r>
  <r>
    <s v="ORD10346"/>
    <x v="53"/>
    <x v="0"/>
    <x v="5"/>
    <s v="CUST1143"/>
    <x v="11"/>
    <s v="Male"/>
    <n v="25"/>
    <s v="Bengaluru"/>
    <s v="Karnataka"/>
    <x v="2"/>
    <x v="0"/>
    <s v="Gadgets"/>
    <x v="9"/>
    <n v="4"/>
    <n v="65000"/>
    <n v="5"/>
    <n v="247000"/>
    <n v="32471.75"/>
    <x v="4"/>
    <s v="Completed"/>
    <x v="0"/>
  </r>
  <r>
    <s v="ORD10347"/>
    <x v="115"/>
    <x v="1"/>
    <x v="11"/>
    <s v="CUST1048"/>
    <x v="53"/>
    <s v="Male"/>
    <n v="41"/>
    <s v="Kolkata"/>
    <s v="West Bengal"/>
    <x v="3"/>
    <x v="1"/>
    <s v="Stationery"/>
    <x v="2"/>
    <n v="4"/>
    <n v="150"/>
    <n v="10"/>
    <n v="540"/>
    <n v="119.9"/>
    <x v="0"/>
    <s v="Completed"/>
    <x v="2"/>
  </r>
  <r>
    <s v="ORD10348"/>
    <x v="247"/>
    <x v="1"/>
    <x v="1"/>
    <s v="CUST1027"/>
    <x v="36"/>
    <s v="Female"/>
    <n v="50"/>
    <s v="Ahmedabad"/>
    <s v="Gujarat"/>
    <x v="0"/>
    <x v="3"/>
    <s v="Home"/>
    <x v="12"/>
    <n v="3"/>
    <n v="6000"/>
    <n v="20"/>
    <n v="14400"/>
    <n v="3201.66"/>
    <x v="4"/>
    <s v="Completed"/>
    <x v="5"/>
  </r>
  <r>
    <s v="ORD10349"/>
    <x v="248"/>
    <x v="0"/>
    <x v="0"/>
    <s v="CUST1129"/>
    <x v="19"/>
    <s v="Male"/>
    <n v="33"/>
    <s v="Mumbai"/>
    <s v="Maharashtra"/>
    <x v="0"/>
    <x v="2"/>
    <s v="Apparel"/>
    <x v="10"/>
    <n v="2"/>
    <n v="800"/>
    <n v="5"/>
    <n v="1520"/>
    <n v="369.84"/>
    <x v="2"/>
    <s v="Completed"/>
    <x v="4"/>
  </r>
  <r>
    <s v="ORD10350"/>
    <x v="74"/>
    <x v="0"/>
    <x v="7"/>
    <s v="CUST1120"/>
    <x v="97"/>
    <s v="Male"/>
    <n v="58"/>
    <s v="Mumbai"/>
    <s v="Maharashtra"/>
    <x v="0"/>
    <x v="0"/>
    <s v="Gadgets"/>
    <x v="3"/>
    <n v="1"/>
    <n v="25000"/>
    <n v="15"/>
    <n v="21250"/>
    <n v="1758.18"/>
    <x v="4"/>
    <s v="Completed"/>
    <x v="0"/>
  </r>
  <r>
    <s v="ORD10351"/>
    <x v="156"/>
    <x v="0"/>
    <x v="5"/>
    <s v="CUST1034"/>
    <x v="51"/>
    <s v="Female"/>
    <n v="43"/>
    <s v="Chennai"/>
    <s v="Tamil Nadu"/>
    <x v="2"/>
    <x v="1"/>
    <s v="Stationery"/>
    <x v="7"/>
    <n v="5"/>
    <n v="120"/>
    <n v="0"/>
    <n v="600"/>
    <n v="97.91"/>
    <x v="2"/>
    <s v="Completed"/>
    <x v="3"/>
  </r>
  <r>
    <s v="ORD10352"/>
    <x v="150"/>
    <x v="1"/>
    <x v="9"/>
    <s v="CUST1144"/>
    <x v="108"/>
    <s v="Male"/>
    <n v="54"/>
    <s v="Hyderabad"/>
    <s v="Telangana"/>
    <x v="2"/>
    <x v="2"/>
    <s v="Apparel"/>
    <x v="10"/>
    <n v="5"/>
    <n v="800"/>
    <n v="15"/>
    <n v="3400"/>
    <n v="879.96"/>
    <x v="2"/>
    <s v="Completed"/>
    <x v="5"/>
  </r>
  <r>
    <s v="ORD10353"/>
    <x v="118"/>
    <x v="0"/>
    <x v="6"/>
    <s v="CUST1034"/>
    <x v="8"/>
    <s v="Male"/>
    <n v="39"/>
    <s v="Delhi"/>
    <s v="Delhi"/>
    <x v="1"/>
    <x v="1"/>
    <s v="Stationery"/>
    <x v="11"/>
    <n v="5"/>
    <n v="450"/>
    <n v="10"/>
    <n v="2025"/>
    <n v="262.97000000000003"/>
    <x v="1"/>
    <s v="Cancelled"/>
    <x v="3"/>
  </r>
  <r>
    <s v="ORD10354"/>
    <x v="249"/>
    <x v="1"/>
    <x v="5"/>
    <s v="CUST1135"/>
    <x v="62"/>
    <s v="Female"/>
    <n v="20"/>
    <s v="Pune"/>
    <s v="Maharashtra"/>
    <x v="0"/>
    <x v="1"/>
    <s v="Stationery"/>
    <x v="7"/>
    <n v="1"/>
    <n v="120"/>
    <n v="15"/>
    <n v="102"/>
    <n v="12.7"/>
    <x v="4"/>
    <s v="Pending"/>
    <x v="5"/>
  </r>
  <r>
    <s v="ORD10355"/>
    <x v="117"/>
    <x v="1"/>
    <x v="8"/>
    <s v="CUST1060"/>
    <x v="114"/>
    <s v="Female"/>
    <n v="55"/>
    <s v="Ahmedabad"/>
    <s v="Gujarat"/>
    <x v="0"/>
    <x v="2"/>
    <s v="Apparel"/>
    <x v="4"/>
    <n v="3"/>
    <n v="1800"/>
    <n v="10"/>
    <n v="4860"/>
    <n v="1212"/>
    <x v="2"/>
    <s v="Completed"/>
    <x v="0"/>
  </r>
  <r>
    <s v="ORD10356"/>
    <x v="250"/>
    <x v="0"/>
    <x v="1"/>
    <s v="CUST1015"/>
    <x v="152"/>
    <s v="Female"/>
    <n v="25"/>
    <s v="Delhi"/>
    <s v="Delhi"/>
    <x v="1"/>
    <x v="0"/>
    <s v="Gadgets"/>
    <x v="1"/>
    <n v="3"/>
    <n v="2500"/>
    <n v="20"/>
    <n v="6000"/>
    <n v="662.9"/>
    <x v="0"/>
    <s v="Completed"/>
    <x v="4"/>
  </r>
  <r>
    <s v="ORD10357"/>
    <x v="251"/>
    <x v="1"/>
    <x v="9"/>
    <s v="CUST1007"/>
    <x v="123"/>
    <s v="Male"/>
    <n v="47"/>
    <s v="Delhi"/>
    <s v="Delhi"/>
    <x v="1"/>
    <x v="2"/>
    <s v="Apparel"/>
    <x v="10"/>
    <n v="5"/>
    <n v="800"/>
    <n v="5"/>
    <n v="3800"/>
    <n v="656.1"/>
    <x v="4"/>
    <s v="Completed"/>
    <x v="3"/>
  </r>
  <r>
    <s v="ORD10358"/>
    <x v="252"/>
    <x v="1"/>
    <x v="3"/>
    <s v="CUST1064"/>
    <x v="59"/>
    <s v="Female"/>
    <n v="58"/>
    <s v="Delhi"/>
    <s v="Delhi"/>
    <x v="1"/>
    <x v="3"/>
    <s v="Home"/>
    <x v="5"/>
    <n v="5"/>
    <n v="9000"/>
    <n v="0"/>
    <n v="45000"/>
    <n v="9820.17"/>
    <x v="4"/>
    <s v="Completed"/>
    <x v="5"/>
  </r>
  <r>
    <s v="ORD10359"/>
    <x v="253"/>
    <x v="1"/>
    <x v="1"/>
    <s v="CUST1047"/>
    <x v="153"/>
    <s v="Male"/>
    <n v="53"/>
    <s v="Chennai"/>
    <s v="Tamil Nadu"/>
    <x v="2"/>
    <x v="2"/>
    <s v="Apparel"/>
    <x v="10"/>
    <n v="2"/>
    <n v="800"/>
    <n v="10"/>
    <n v="1440"/>
    <n v="229.15"/>
    <x v="2"/>
    <s v="Cancelled"/>
    <x v="0"/>
  </r>
  <r>
    <s v="ORD10360"/>
    <x v="160"/>
    <x v="1"/>
    <x v="4"/>
    <s v="CUST1047"/>
    <x v="46"/>
    <s v="Male"/>
    <n v="22"/>
    <s v="Pune"/>
    <s v="Maharashtra"/>
    <x v="0"/>
    <x v="0"/>
    <s v="Gadgets"/>
    <x v="3"/>
    <n v="5"/>
    <n v="25000"/>
    <n v="10"/>
    <n v="112500"/>
    <n v="24906.35"/>
    <x v="0"/>
    <s v="Completed"/>
    <x v="3"/>
  </r>
  <r>
    <s v="ORD10361"/>
    <x v="241"/>
    <x v="0"/>
    <x v="7"/>
    <s v="CUST1148"/>
    <x v="154"/>
    <s v="Male"/>
    <n v="43"/>
    <s v="Ahmedabad"/>
    <s v="Gujarat"/>
    <x v="0"/>
    <x v="2"/>
    <s v="Apparel"/>
    <x v="10"/>
    <n v="5"/>
    <n v="800"/>
    <n v="15"/>
    <n v="3400"/>
    <n v="615.26"/>
    <x v="3"/>
    <s v="Cancelled"/>
    <x v="5"/>
  </r>
  <r>
    <s v="ORD10362"/>
    <x v="91"/>
    <x v="0"/>
    <x v="6"/>
    <s v="CUST1050"/>
    <x v="52"/>
    <s v="Female"/>
    <n v="37"/>
    <s v="Bengaluru"/>
    <s v="Karnataka"/>
    <x v="2"/>
    <x v="3"/>
    <s v="Home"/>
    <x v="5"/>
    <n v="3"/>
    <n v="9000"/>
    <n v="15"/>
    <n v="22950"/>
    <n v="4127.55"/>
    <x v="2"/>
    <s v="Completed"/>
    <x v="5"/>
  </r>
  <r>
    <s v="ORD10363"/>
    <x v="55"/>
    <x v="0"/>
    <x v="5"/>
    <s v="CUST1146"/>
    <x v="61"/>
    <s v="Male"/>
    <n v="54"/>
    <s v="Kolkata"/>
    <s v="West Bengal"/>
    <x v="3"/>
    <x v="3"/>
    <s v="Home"/>
    <x v="5"/>
    <n v="5"/>
    <n v="9000"/>
    <n v="5"/>
    <n v="42750"/>
    <n v="9861.66"/>
    <x v="2"/>
    <s v="Cancelled"/>
    <x v="4"/>
  </r>
  <r>
    <s v="ORD10364"/>
    <x v="254"/>
    <x v="1"/>
    <x v="0"/>
    <s v="CUST1028"/>
    <x v="155"/>
    <s v="Male"/>
    <n v="37"/>
    <s v="Delhi"/>
    <s v="Delhi"/>
    <x v="1"/>
    <x v="1"/>
    <s v="Stationery"/>
    <x v="7"/>
    <n v="4"/>
    <n v="120"/>
    <n v="15"/>
    <n v="408"/>
    <n v="56.13"/>
    <x v="2"/>
    <s v="Pending"/>
    <x v="0"/>
  </r>
  <r>
    <s v="ORD10365"/>
    <x v="255"/>
    <x v="1"/>
    <x v="10"/>
    <s v="CUST1085"/>
    <x v="156"/>
    <s v="Female"/>
    <n v="44"/>
    <s v="Ahmedabad"/>
    <s v="Gujarat"/>
    <x v="0"/>
    <x v="3"/>
    <s v="Home"/>
    <x v="12"/>
    <n v="5"/>
    <n v="6000"/>
    <n v="10"/>
    <n v="27000"/>
    <n v="2868.77"/>
    <x v="2"/>
    <s v="Completed"/>
    <x v="5"/>
  </r>
  <r>
    <s v="ORD10366"/>
    <x v="7"/>
    <x v="1"/>
    <x v="3"/>
    <s v="CUST1053"/>
    <x v="138"/>
    <s v="Female"/>
    <n v="45"/>
    <s v="Pune"/>
    <s v="Maharashtra"/>
    <x v="0"/>
    <x v="2"/>
    <s v="Apparel"/>
    <x v="4"/>
    <n v="5"/>
    <n v="1800"/>
    <n v="0"/>
    <n v="9000"/>
    <n v="1130.51"/>
    <x v="2"/>
    <s v="Cancelled"/>
    <x v="5"/>
  </r>
  <r>
    <s v="ORD10367"/>
    <x v="256"/>
    <x v="0"/>
    <x v="5"/>
    <s v="CUST1012"/>
    <x v="89"/>
    <s v="Male"/>
    <n v="41"/>
    <s v="Pune"/>
    <s v="Maharashtra"/>
    <x v="0"/>
    <x v="1"/>
    <s v="Stationery"/>
    <x v="11"/>
    <n v="2"/>
    <n v="450"/>
    <n v="0"/>
    <n v="900"/>
    <n v="215.97"/>
    <x v="0"/>
    <s v="Cancelled"/>
    <x v="1"/>
  </r>
  <r>
    <s v="ORD10368"/>
    <x v="257"/>
    <x v="1"/>
    <x v="7"/>
    <s v="CUST1037"/>
    <x v="96"/>
    <s v="Female"/>
    <n v="26"/>
    <s v="Kolkata"/>
    <s v="West Bengal"/>
    <x v="3"/>
    <x v="0"/>
    <s v="Gadgets"/>
    <x v="3"/>
    <n v="2"/>
    <n v="25000"/>
    <n v="15"/>
    <n v="42500"/>
    <n v="8510.81"/>
    <x v="3"/>
    <s v="Completed"/>
    <x v="1"/>
  </r>
  <r>
    <s v="ORD10369"/>
    <x v="74"/>
    <x v="0"/>
    <x v="7"/>
    <s v="CUST1132"/>
    <x v="122"/>
    <s v="Male"/>
    <n v="41"/>
    <s v="Kolkata"/>
    <s v="West Bengal"/>
    <x v="3"/>
    <x v="1"/>
    <s v="Stationery"/>
    <x v="2"/>
    <n v="3"/>
    <n v="150"/>
    <n v="5"/>
    <n v="427.5"/>
    <n v="35.659999999999997"/>
    <x v="3"/>
    <s v="Completed"/>
    <x v="4"/>
  </r>
  <r>
    <s v="ORD10370"/>
    <x v="258"/>
    <x v="1"/>
    <x v="7"/>
    <s v="CUST1127"/>
    <x v="51"/>
    <s v="Female"/>
    <n v="39"/>
    <s v="Ahmedabad"/>
    <s v="Gujarat"/>
    <x v="0"/>
    <x v="0"/>
    <s v="Gadgets"/>
    <x v="3"/>
    <n v="4"/>
    <n v="25000"/>
    <n v="10"/>
    <n v="90000"/>
    <n v="16598.22"/>
    <x v="4"/>
    <s v="Completed"/>
    <x v="4"/>
  </r>
  <r>
    <s v="ORD10371"/>
    <x v="259"/>
    <x v="1"/>
    <x v="4"/>
    <s v="CUST1006"/>
    <x v="34"/>
    <s v="Female"/>
    <n v="37"/>
    <s v="Chennai"/>
    <s v="Tamil Nadu"/>
    <x v="2"/>
    <x v="3"/>
    <s v="Home"/>
    <x v="12"/>
    <n v="2"/>
    <n v="6000"/>
    <n v="15"/>
    <n v="10200"/>
    <n v="2420.6"/>
    <x v="2"/>
    <s v="Pending"/>
    <x v="5"/>
  </r>
  <r>
    <s v="ORD10372"/>
    <x v="260"/>
    <x v="1"/>
    <x v="10"/>
    <s v="CUST1013"/>
    <x v="64"/>
    <s v="Female"/>
    <n v="30"/>
    <s v="Bengaluru"/>
    <s v="Karnataka"/>
    <x v="2"/>
    <x v="0"/>
    <s v="Gadgets"/>
    <x v="9"/>
    <n v="1"/>
    <n v="65000"/>
    <n v="15"/>
    <n v="55250"/>
    <n v="5363.27"/>
    <x v="4"/>
    <s v="Completed"/>
    <x v="0"/>
  </r>
  <r>
    <s v="ORD10373"/>
    <x v="261"/>
    <x v="1"/>
    <x v="3"/>
    <s v="CUST1048"/>
    <x v="10"/>
    <s v="Female"/>
    <n v="28"/>
    <s v="Kolkata"/>
    <s v="West Bengal"/>
    <x v="3"/>
    <x v="0"/>
    <s v="Gadgets"/>
    <x v="1"/>
    <n v="5"/>
    <n v="2500"/>
    <n v="5"/>
    <n v="11875"/>
    <n v="3316.55"/>
    <x v="2"/>
    <s v="Completed"/>
    <x v="4"/>
  </r>
  <r>
    <s v="ORD10374"/>
    <x v="111"/>
    <x v="1"/>
    <x v="6"/>
    <s v="CUST1038"/>
    <x v="19"/>
    <s v="Female"/>
    <n v="28"/>
    <s v="Bengaluru"/>
    <s v="Karnataka"/>
    <x v="2"/>
    <x v="3"/>
    <s v="Home"/>
    <x v="5"/>
    <n v="3"/>
    <n v="9000"/>
    <n v="5"/>
    <n v="25650"/>
    <n v="6851.34"/>
    <x v="0"/>
    <s v="Cancelled"/>
    <x v="3"/>
  </r>
  <r>
    <s v="ORD10375"/>
    <x v="98"/>
    <x v="1"/>
    <x v="5"/>
    <s v="CUST1027"/>
    <x v="89"/>
    <s v="Female"/>
    <n v="51"/>
    <s v="Hyderabad"/>
    <s v="Telangana"/>
    <x v="2"/>
    <x v="2"/>
    <s v="Apparel"/>
    <x v="10"/>
    <n v="3"/>
    <n v="800"/>
    <n v="0"/>
    <n v="2400"/>
    <n v="612.45000000000005"/>
    <x v="3"/>
    <s v="Pending"/>
    <x v="4"/>
  </r>
  <r>
    <s v="ORD10376"/>
    <x v="262"/>
    <x v="0"/>
    <x v="1"/>
    <s v="CUST1062"/>
    <x v="157"/>
    <s v="Male"/>
    <n v="46"/>
    <s v="Kolkata"/>
    <s v="West Bengal"/>
    <x v="3"/>
    <x v="3"/>
    <s v="Home"/>
    <x v="12"/>
    <n v="4"/>
    <n v="6000"/>
    <n v="15"/>
    <n v="20400"/>
    <n v="2079.25"/>
    <x v="1"/>
    <s v="Completed"/>
    <x v="0"/>
  </r>
  <r>
    <s v="ORD10377"/>
    <x v="263"/>
    <x v="0"/>
    <x v="0"/>
    <s v="CUST1079"/>
    <x v="111"/>
    <s v="Female"/>
    <n v="59"/>
    <s v="Ahmedabad"/>
    <s v="Gujarat"/>
    <x v="0"/>
    <x v="3"/>
    <s v="Home"/>
    <x v="8"/>
    <n v="3"/>
    <n v="7000"/>
    <n v="10"/>
    <n v="18900"/>
    <n v="2446.1"/>
    <x v="2"/>
    <s v="Completed"/>
    <x v="0"/>
  </r>
  <r>
    <s v="ORD10378"/>
    <x v="241"/>
    <x v="0"/>
    <x v="7"/>
    <s v="CUST1003"/>
    <x v="102"/>
    <s v="Female"/>
    <n v="60"/>
    <s v="Chennai"/>
    <s v="Tamil Nadu"/>
    <x v="2"/>
    <x v="0"/>
    <s v="Gadgets"/>
    <x v="9"/>
    <n v="4"/>
    <n v="65000"/>
    <n v="5"/>
    <n v="247000"/>
    <n v="64051.13"/>
    <x v="1"/>
    <s v="Completed"/>
    <x v="0"/>
  </r>
  <r>
    <s v="ORD10379"/>
    <x v="264"/>
    <x v="1"/>
    <x v="6"/>
    <s v="CUST1074"/>
    <x v="49"/>
    <s v="Female"/>
    <n v="59"/>
    <s v="Ahmedabad"/>
    <s v="Gujarat"/>
    <x v="0"/>
    <x v="1"/>
    <s v="Stationery"/>
    <x v="7"/>
    <n v="3"/>
    <n v="120"/>
    <n v="5"/>
    <n v="342"/>
    <n v="62.29"/>
    <x v="1"/>
    <s v="Pending"/>
    <x v="3"/>
  </r>
  <r>
    <s v="ORD10380"/>
    <x v="28"/>
    <x v="1"/>
    <x v="1"/>
    <s v="CUST1020"/>
    <x v="34"/>
    <s v="Female"/>
    <n v="44"/>
    <s v="Mumbai"/>
    <s v="Maharashtra"/>
    <x v="0"/>
    <x v="1"/>
    <s v="Stationery"/>
    <x v="11"/>
    <n v="3"/>
    <n v="450"/>
    <n v="10"/>
    <n v="1215"/>
    <n v="185.27"/>
    <x v="1"/>
    <s v="Pending"/>
    <x v="0"/>
  </r>
  <r>
    <s v="ORD10381"/>
    <x v="265"/>
    <x v="0"/>
    <x v="6"/>
    <s v="CUST1064"/>
    <x v="158"/>
    <s v="Female"/>
    <n v="59"/>
    <s v="Bengaluru"/>
    <s v="Karnataka"/>
    <x v="2"/>
    <x v="1"/>
    <s v="Stationery"/>
    <x v="2"/>
    <n v="2"/>
    <n v="150"/>
    <n v="0"/>
    <n v="300"/>
    <n v="45.36"/>
    <x v="0"/>
    <s v="Completed"/>
    <x v="0"/>
  </r>
  <r>
    <s v="ORD10382"/>
    <x v="266"/>
    <x v="1"/>
    <x v="2"/>
    <s v="CUST1047"/>
    <x v="52"/>
    <s v="Female"/>
    <n v="49"/>
    <s v="Chennai"/>
    <s v="Tamil Nadu"/>
    <x v="2"/>
    <x v="0"/>
    <s v="Gadgets"/>
    <x v="3"/>
    <n v="3"/>
    <n v="25000"/>
    <n v="15"/>
    <n v="63750"/>
    <n v="12655.6"/>
    <x v="0"/>
    <s v="Completed"/>
    <x v="5"/>
  </r>
  <r>
    <s v="ORD10383"/>
    <x v="267"/>
    <x v="1"/>
    <x v="5"/>
    <s v="CUST1012"/>
    <x v="140"/>
    <s v="Male"/>
    <n v="34"/>
    <s v="Delhi"/>
    <s v="Delhi"/>
    <x v="1"/>
    <x v="2"/>
    <s v="Apparel"/>
    <x v="4"/>
    <n v="3"/>
    <n v="1800"/>
    <n v="15"/>
    <n v="4590"/>
    <n v="1198.95"/>
    <x v="0"/>
    <s v="Pending"/>
    <x v="0"/>
  </r>
  <r>
    <s v="ORD10384"/>
    <x v="249"/>
    <x v="1"/>
    <x v="5"/>
    <s v="CUST1042"/>
    <x v="13"/>
    <s v="Male"/>
    <n v="50"/>
    <s v="Delhi"/>
    <s v="Delhi"/>
    <x v="1"/>
    <x v="3"/>
    <s v="Home"/>
    <x v="5"/>
    <n v="4"/>
    <n v="9000"/>
    <n v="15"/>
    <n v="30600"/>
    <n v="3637.1"/>
    <x v="3"/>
    <s v="Pending"/>
    <x v="1"/>
  </r>
  <r>
    <s v="ORD10385"/>
    <x v="268"/>
    <x v="1"/>
    <x v="0"/>
    <s v="CUST1127"/>
    <x v="47"/>
    <s v="Male"/>
    <n v="20"/>
    <s v="Delhi"/>
    <s v="Delhi"/>
    <x v="1"/>
    <x v="0"/>
    <s v="Gadgets"/>
    <x v="9"/>
    <n v="5"/>
    <n v="65000"/>
    <n v="15"/>
    <n v="276250"/>
    <n v="38853.480000000003"/>
    <x v="2"/>
    <s v="Completed"/>
    <x v="2"/>
  </r>
  <r>
    <s v="ORD10386"/>
    <x v="231"/>
    <x v="1"/>
    <x v="5"/>
    <s v="CUST1026"/>
    <x v="78"/>
    <s v="Male"/>
    <n v="27"/>
    <s v="Pune"/>
    <s v="Maharashtra"/>
    <x v="0"/>
    <x v="2"/>
    <s v="Apparel"/>
    <x v="6"/>
    <n v="4"/>
    <n v="3500"/>
    <n v="20"/>
    <n v="11200"/>
    <n v="2322.88"/>
    <x v="1"/>
    <s v="Cancelled"/>
    <x v="0"/>
  </r>
  <r>
    <s v="ORD10387"/>
    <x v="269"/>
    <x v="1"/>
    <x v="7"/>
    <s v="CUST1001"/>
    <x v="105"/>
    <s v="Female"/>
    <n v="51"/>
    <s v="Bengaluru"/>
    <s v="Karnataka"/>
    <x v="2"/>
    <x v="1"/>
    <s v="Stationery"/>
    <x v="11"/>
    <n v="4"/>
    <n v="450"/>
    <n v="5"/>
    <n v="1710"/>
    <n v="261.2"/>
    <x v="4"/>
    <s v="Cancelled"/>
    <x v="2"/>
  </r>
  <r>
    <s v="ORD10388"/>
    <x v="35"/>
    <x v="0"/>
    <x v="1"/>
    <s v="CUST1099"/>
    <x v="159"/>
    <s v="Female"/>
    <n v="47"/>
    <s v="Chennai"/>
    <s v="Tamil Nadu"/>
    <x v="2"/>
    <x v="0"/>
    <s v="Gadgets"/>
    <x v="9"/>
    <n v="3"/>
    <n v="65000"/>
    <n v="20"/>
    <n v="156000"/>
    <n v="28260.42"/>
    <x v="4"/>
    <s v="Completed"/>
    <x v="5"/>
  </r>
  <r>
    <s v="ORD10389"/>
    <x v="270"/>
    <x v="0"/>
    <x v="6"/>
    <s v="CUST1011"/>
    <x v="34"/>
    <s v="Female"/>
    <n v="20"/>
    <s v="Bengaluru"/>
    <s v="Karnataka"/>
    <x v="2"/>
    <x v="0"/>
    <s v="Gadgets"/>
    <x v="3"/>
    <n v="5"/>
    <n v="25000"/>
    <n v="10"/>
    <n v="112500"/>
    <n v="15436.49"/>
    <x v="1"/>
    <s v="Completed"/>
    <x v="3"/>
  </r>
  <r>
    <s v="ORD10390"/>
    <x v="271"/>
    <x v="1"/>
    <x v="10"/>
    <s v="CUST1063"/>
    <x v="20"/>
    <s v="Female"/>
    <n v="32"/>
    <s v="Bengaluru"/>
    <s v="Karnataka"/>
    <x v="2"/>
    <x v="0"/>
    <s v="Gadgets"/>
    <x v="9"/>
    <n v="4"/>
    <n v="65000"/>
    <n v="5"/>
    <n v="247000"/>
    <n v="65645.679999999993"/>
    <x v="1"/>
    <s v="Cancelled"/>
    <x v="2"/>
  </r>
  <r>
    <s v="ORD10391"/>
    <x v="272"/>
    <x v="1"/>
    <x v="8"/>
    <s v="CUST1111"/>
    <x v="115"/>
    <s v="Female"/>
    <n v="36"/>
    <s v="Chennai"/>
    <s v="Tamil Nadu"/>
    <x v="2"/>
    <x v="1"/>
    <s v="Stationery"/>
    <x v="11"/>
    <n v="3"/>
    <n v="450"/>
    <n v="5"/>
    <n v="1282.5"/>
    <n v="226.46"/>
    <x v="4"/>
    <s v="Completed"/>
    <x v="1"/>
  </r>
  <r>
    <s v="ORD10392"/>
    <x v="74"/>
    <x v="0"/>
    <x v="7"/>
    <s v="CUST1109"/>
    <x v="60"/>
    <s v="Female"/>
    <n v="60"/>
    <s v="Mumbai"/>
    <s v="Maharashtra"/>
    <x v="0"/>
    <x v="1"/>
    <s v="Stationery"/>
    <x v="7"/>
    <n v="1"/>
    <n v="120"/>
    <n v="10"/>
    <n v="108"/>
    <n v="25.52"/>
    <x v="1"/>
    <s v="Completed"/>
    <x v="5"/>
  </r>
  <r>
    <s v="ORD10393"/>
    <x v="127"/>
    <x v="0"/>
    <x v="5"/>
    <s v="CUST1072"/>
    <x v="61"/>
    <s v="Male"/>
    <n v="31"/>
    <s v="Ahmedabad"/>
    <s v="Gujarat"/>
    <x v="0"/>
    <x v="0"/>
    <s v="Gadgets"/>
    <x v="9"/>
    <n v="2"/>
    <n v="65000"/>
    <n v="0"/>
    <n v="130000"/>
    <n v="31257.51"/>
    <x v="1"/>
    <s v="Completed"/>
    <x v="4"/>
  </r>
  <r>
    <s v="ORD10394"/>
    <x v="15"/>
    <x v="1"/>
    <x v="0"/>
    <s v="CUST1060"/>
    <x v="148"/>
    <s v="Female"/>
    <n v="56"/>
    <s v="Kolkata"/>
    <s v="West Bengal"/>
    <x v="3"/>
    <x v="1"/>
    <s v="Stationery"/>
    <x v="2"/>
    <n v="2"/>
    <n v="150"/>
    <n v="0"/>
    <n v="300"/>
    <n v="62.7"/>
    <x v="2"/>
    <s v="Completed"/>
    <x v="5"/>
  </r>
  <r>
    <s v="ORD10395"/>
    <x v="273"/>
    <x v="0"/>
    <x v="5"/>
    <s v="CUST1133"/>
    <x v="116"/>
    <s v="Female"/>
    <n v="49"/>
    <s v="Pune"/>
    <s v="Maharashtra"/>
    <x v="0"/>
    <x v="0"/>
    <s v="Gadgets"/>
    <x v="1"/>
    <n v="5"/>
    <n v="2500"/>
    <n v="0"/>
    <n v="12500"/>
    <n v="3296.28"/>
    <x v="3"/>
    <s v="Completed"/>
    <x v="4"/>
  </r>
  <r>
    <s v="ORD10396"/>
    <x v="274"/>
    <x v="0"/>
    <x v="7"/>
    <s v="CUST1100"/>
    <x v="42"/>
    <s v="Male"/>
    <n v="26"/>
    <s v="Chennai"/>
    <s v="Tamil Nadu"/>
    <x v="2"/>
    <x v="2"/>
    <s v="Apparel"/>
    <x v="10"/>
    <n v="5"/>
    <n v="800"/>
    <n v="5"/>
    <n v="3800"/>
    <n v="305.43"/>
    <x v="4"/>
    <s v="Completed"/>
    <x v="3"/>
  </r>
  <r>
    <s v="ORD10397"/>
    <x v="261"/>
    <x v="1"/>
    <x v="3"/>
    <s v="CUST1019"/>
    <x v="81"/>
    <s v="Male"/>
    <n v="59"/>
    <s v="Chennai"/>
    <s v="Tamil Nadu"/>
    <x v="2"/>
    <x v="0"/>
    <s v="Gadgets"/>
    <x v="9"/>
    <n v="5"/>
    <n v="65000"/>
    <n v="5"/>
    <n v="308750"/>
    <n v="51055.360000000001"/>
    <x v="4"/>
    <s v="Completed"/>
    <x v="4"/>
  </r>
  <r>
    <s v="ORD10398"/>
    <x v="73"/>
    <x v="1"/>
    <x v="5"/>
    <s v="CUST1113"/>
    <x v="50"/>
    <s v="Male"/>
    <n v="28"/>
    <s v="Bengaluru"/>
    <s v="Karnataka"/>
    <x v="2"/>
    <x v="3"/>
    <s v="Home"/>
    <x v="8"/>
    <n v="5"/>
    <n v="7000"/>
    <n v="15"/>
    <n v="29750"/>
    <n v="8306.52"/>
    <x v="2"/>
    <s v="Completed"/>
    <x v="1"/>
  </r>
  <r>
    <s v="ORD10399"/>
    <x v="275"/>
    <x v="1"/>
    <x v="10"/>
    <s v="CUST1061"/>
    <x v="4"/>
    <s v="Female"/>
    <n v="24"/>
    <s v="Ahmedabad"/>
    <s v="Gujarat"/>
    <x v="0"/>
    <x v="1"/>
    <s v="Stationery"/>
    <x v="2"/>
    <n v="5"/>
    <n v="150"/>
    <n v="10"/>
    <n v="675"/>
    <n v="188.48"/>
    <x v="1"/>
    <s v="Completed"/>
    <x v="0"/>
  </r>
  <r>
    <s v="ORD10400"/>
    <x v="265"/>
    <x v="0"/>
    <x v="6"/>
    <s v="CUST1086"/>
    <x v="12"/>
    <s v="Male"/>
    <n v="23"/>
    <s v="Delhi"/>
    <s v="Delhi"/>
    <x v="1"/>
    <x v="3"/>
    <s v="Home"/>
    <x v="8"/>
    <n v="1"/>
    <n v="7000"/>
    <n v="5"/>
    <n v="6650"/>
    <n v="1002.92"/>
    <x v="4"/>
    <s v="Cancelled"/>
    <x v="2"/>
  </r>
  <r>
    <s v="ORD10401"/>
    <x v="276"/>
    <x v="1"/>
    <x v="8"/>
    <s v="CUST1073"/>
    <x v="9"/>
    <s v="Female"/>
    <n v="34"/>
    <s v="Delhi"/>
    <s v="Delhi"/>
    <x v="1"/>
    <x v="2"/>
    <s v="Apparel"/>
    <x v="6"/>
    <n v="2"/>
    <n v="3500"/>
    <n v="15"/>
    <n v="5950"/>
    <n v="1524.56"/>
    <x v="3"/>
    <s v="Pending"/>
    <x v="4"/>
  </r>
  <r>
    <s v="ORD10402"/>
    <x v="216"/>
    <x v="1"/>
    <x v="7"/>
    <s v="CUST1086"/>
    <x v="111"/>
    <s v="Female"/>
    <n v="41"/>
    <s v="Bengaluru"/>
    <s v="Karnataka"/>
    <x v="2"/>
    <x v="0"/>
    <s v="Gadgets"/>
    <x v="3"/>
    <n v="4"/>
    <n v="25000"/>
    <n v="5"/>
    <n v="95000"/>
    <n v="19062.57"/>
    <x v="2"/>
    <s v="Pending"/>
    <x v="0"/>
  </r>
  <r>
    <s v="ORD10403"/>
    <x v="271"/>
    <x v="1"/>
    <x v="10"/>
    <s v="CUST1062"/>
    <x v="148"/>
    <s v="Male"/>
    <n v="27"/>
    <s v="Hyderabad"/>
    <s v="Telangana"/>
    <x v="2"/>
    <x v="2"/>
    <s v="Apparel"/>
    <x v="6"/>
    <n v="3"/>
    <n v="3500"/>
    <n v="10"/>
    <n v="9450"/>
    <n v="1836.85"/>
    <x v="0"/>
    <s v="Completed"/>
    <x v="5"/>
  </r>
  <r>
    <s v="ORD10404"/>
    <x v="74"/>
    <x v="0"/>
    <x v="7"/>
    <s v="CUST1088"/>
    <x v="95"/>
    <s v="Male"/>
    <n v="32"/>
    <s v="Bengaluru"/>
    <s v="Karnataka"/>
    <x v="2"/>
    <x v="2"/>
    <s v="Apparel"/>
    <x v="4"/>
    <n v="5"/>
    <n v="1800"/>
    <n v="10"/>
    <n v="8100"/>
    <n v="2062.9499999999998"/>
    <x v="3"/>
    <s v="Completed"/>
    <x v="1"/>
  </r>
  <r>
    <s v="ORD10405"/>
    <x v="277"/>
    <x v="1"/>
    <x v="5"/>
    <s v="CUST1063"/>
    <x v="160"/>
    <s v="Male"/>
    <n v="21"/>
    <s v="Hyderabad"/>
    <s v="Telangana"/>
    <x v="2"/>
    <x v="0"/>
    <s v="Gadgets"/>
    <x v="9"/>
    <n v="4"/>
    <n v="65000"/>
    <n v="5"/>
    <n v="247000"/>
    <n v="26230.45"/>
    <x v="1"/>
    <s v="Completed"/>
    <x v="0"/>
  </r>
  <r>
    <s v="ORD10406"/>
    <x v="211"/>
    <x v="0"/>
    <x v="5"/>
    <s v="CUST1078"/>
    <x v="145"/>
    <s v="Female"/>
    <n v="45"/>
    <s v="Kolkata"/>
    <s v="West Bengal"/>
    <x v="3"/>
    <x v="1"/>
    <s v="Stationery"/>
    <x v="11"/>
    <n v="5"/>
    <n v="450"/>
    <n v="0"/>
    <n v="2250"/>
    <n v="398.03"/>
    <x v="4"/>
    <s v="Pending"/>
    <x v="2"/>
  </r>
  <r>
    <s v="ORD10407"/>
    <x v="171"/>
    <x v="1"/>
    <x v="0"/>
    <s v="CUST1092"/>
    <x v="152"/>
    <s v="Male"/>
    <n v="57"/>
    <s v="Hyderabad"/>
    <s v="Telangana"/>
    <x v="2"/>
    <x v="3"/>
    <s v="Home"/>
    <x v="12"/>
    <n v="3"/>
    <n v="6000"/>
    <n v="5"/>
    <n v="17100"/>
    <n v="2756.84"/>
    <x v="1"/>
    <s v="Completed"/>
    <x v="3"/>
  </r>
  <r>
    <s v="ORD10408"/>
    <x v="278"/>
    <x v="0"/>
    <x v="2"/>
    <s v="CUST1131"/>
    <x v="90"/>
    <s v="Male"/>
    <n v="43"/>
    <s v="Hyderabad"/>
    <s v="Telangana"/>
    <x v="2"/>
    <x v="3"/>
    <s v="Home"/>
    <x v="5"/>
    <n v="2"/>
    <n v="9000"/>
    <n v="5"/>
    <n v="17100"/>
    <n v="4087.93"/>
    <x v="1"/>
    <s v="Cancelled"/>
    <x v="5"/>
  </r>
  <r>
    <s v="ORD10409"/>
    <x v="27"/>
    <x v="0"/>
    <x v="6"/>
    <s v="CUST1076"/>
    <x v="161"/>
    <s v="Male"/>
    <n v="44"/>
    <s v="Delhi"/>
    <s v="Delhi"/>
    <x v="1"/>
    <x v="3"/>
    <s v="Home"/>
    <x v="5"/>
    <n v="1"/>
    <n v="9000"/>
    <n v="10"/>
    <n v="8100"/>
    <n v="960.64"/>
    <x v="0"/>
    <s v="Completed"/>
    <x v="1"/>
  </r>
  <r>
    <s v="ORD10410"/>
    <x v="261"/>
    <x v="1"/>
    <x v="3"/>
    <s v="CUST1007"/>
    <x v="30"/>
    <s v="Male"/>
    <n v="57"/>
    <s v="Pune"/>
    <s v="Maharashtra"/>
    <x v="0"/>
    <x v="3"/>
    <s v="Home"/>
    <x v="8"/>
    <n v="2"/>
    <n v="7000"/>
    <n v="20"/>
    <n v="11200"/>
    <n v="2613.88"/>
    <x v="3"/>
    <s v="Completed"/>
    <x v="4"/>
  </r>
  <r>
    <s v="ORD10411"/>
    <x v="12"/>
    <x v="1"/>
    <x v="2"/>
    <s v="CUST1139"/>
    <x v="28"/>
    <s v="Female"/>
    <n v="24"/>
    <s v="Ahmedabad"/>
    <s v="Gujarat"/>
    <x v="0"/>
    <x v="2"/>
    <s v="Apparel"/>
    <x v="10"/>
    <n v="2"/>
    <n v="800"/>
    <n v="5"/>
    <n v="1520"/>
    <n v="285.52"/>
    <x v="1"/>
    <s v="Completed"/>
    <x v="4"/>
  </r>
  <r>
    <s v="ORD10412"/>
    <x v="279"/>
    <x v="1"/>
    <x v="10"/>
    <s v="CUST1000"/>
    <x v="7"/>
    <s v="Female"/>
    <n v="34"/>
    <s v="Mumbai"/>
    <s v="Maharashtra"/>
    <x v="0"/>
    <x v="0"/>
    <s v="Gadgets"/>
    <x v="0"/>
    <n v="4"/>
    <n v="12000"/>
    <n v="20"/>
    <n v="38400"/>
    <n v="4752.6400000000003"/>
    <x v="3"/>
    <s v="Completed"/>
    <x v="0"/>
  </r>
  <r>
    <s v="ORD10413"/>
    <x v="182"/>
    <x v="1"/>
    <x v="6"/>
    <s v="CUST1137"/>
    <x v="154"/>
    <s v="Female"/>
    <n v="58"/>
    <s v="Hyderabad"/>
    <s v="Telangana"/>
    <x v="2"/>
    <x v="3"/>
    <s v="Home"/>
    <x v="5"/>
    <n v="2"/>
    <n v="9000"/>
    <n v="0"/>
    <n v="18000"/>
    <n v="2404.84"/>
    <x v="1"/>
    <s v="Completed"/>
    <x v="5"/>
  </r>
  <r>
    <s v="ORD10414"/>
    <x v="280"/>
    <x v="1"/>
    <x v="7"/>
    <s v="CUST1026"/>
    <x v="58"/>
    <s v="Male"/>
    <n v="30"/>
    <s v="Ahmedabad"/>
    <s v="Gujarat"/>
    <x v="0"/>
    <x v="3"/>
    <s v="Home"/>
    <x v="12"/>
    <n v="1"/>
    <n v="6000"/>
    <n v="10"/>
    <n v="5400"/>
    <n v="1236.18"/>
    <x v="2"/>
    <s v="Completed"/>
    <x v="1"/>
  </r>
  <r>
    <s v="ORD10415"/>
    <x v="281"/>
    <x v="0"/>
    <x v="5"/>
    <s v="CUST1138"/>
    <x v="18"/>
    <s v="Female"/>
    <n v="30"/>
    <s v="Delhi"/>
    <s v="Delhi"/>
    <x v="1"/>
    <x v="0"/>
    <s v="Gadgets"/>
    <x v="9"/>
    <n v="2"/>
    <n v="65000"/>
    <n v="15"/>
    <n v="110500"/>
    <n v="17831.169999999998"/>
    <x v="1"/>
    <s v="Cancelled"/>
    <x v="4"/>
  </r>
  <r>
    <s v="ORD10416"/>
    <x v="282"/>
    <x v="1"/>
    <x v="2"/>
    <s v="CUST1123"/>
    <x v="23"/>
    <s v="Male"/>
    <n v="27"/>
    <s v="Kolkata"/>
    <s v="West Bengal"/>
    <x v="3"/>
    <x v="1"/>
    <s v="Stationery"/>
    <x v="2"/>
    <n v="2"/>
    <n v="150"/>
    <n v="10"/>
    <n v="270"/>
    <n v="75.17"/>
    <x v="1"/>
    <s v="Pending"/>
    <x v="3"/>
  </r>
  <r>
    <s v="ORD10417"/>
    <x v="243"/>
    <x v="0"/>
    <x v="7"/>
    <s v="CUST1133"/>
    <x v="162"/>
    <s v="Female"/>
    <n v="47"/>
    <s v="Kolkata"/>
    <s v="West Bengal"/>
    <x v="3"/>
    <x v="2"/>
    <s v="Apparel"/>
    <x v="4"/>
    <n v="2"/>
    <n v="1800"/>
    <n v="0"/>
    <n v="3600"/>
    <n v="836.25"/>
    <x v="2"/>
    <s v="Completed"/>
    <x v="2"/>
  </r>
  <r>
    <s v="ORD10418"/>
    <x v="255"/>
    <x v="1"/>
    <x v="10"/>
    <s v="CUST1137"/>
    <x v="66"/>
    <s v="Male"/>
    <n v="38"/>
    <s v="Kolkata"/>
    <s v="West Bengal"/>
    <x v="3"/>
    <x v="0"/>
    <s v="Gadgets"/>
    <x v="1"/>
    <n v="2"/>
    <n v="2500"/>
    <n v="0"/>
    <n v="5000"/>
    <n v="1069.8699999999999"/>
    <x v="3"/>
    <s v="Completed"/>
    <x v="0"/>
  </r>
  <r>
    <s v="ORD10419"/>
    <x v="222"/>
    <x v="0"/>
    <x v="5"/>
    <s v="CUST1073"/>
    <x v="163"/>
    <s v="Male"/>
    <n v="28"/>
    <s v="Chennai"/>
    <s v="Tamil Nadu"/>
    <x v="2"/>
    <x v="3"/>
    <s v="Home"/>
    <x v="8"/>
    <n v="1"/>
    <n v="7000"/>
    <n v="15"/>
    <n v="5950"/>
    <n v="797.85"/>
    <x v="0"/>
    <s v="Cancelled"/>
    <x v="0"/>
  </r>
  <r>
    <s v="ORD10420"/>
    <x v="226"/>
    <x v="0"/>
    <x v="5"/>
    <s v="CUST1118"/>
    <x v="73"/>
    <s v="Female"/>
    <n v="48"/>
    <s v="Bengaluru"/>
    <s v="Karnataka"/>
    <x v="2"/>
    <x v="1"/>
    <s v="Stationery"/>
    <x v="7"/>
    <n v="1"/>
    <n v="120"/>
    <n v="15"/>
    <n v="102"/>
    <n v="14.55"/>
    <x v="1"/>
    <s v="Completed"/>
    <x v="2"/>
  </r>
  <r>
    <s v="ORD10421"/>
    <x v="283"/>
    <x v="1"/>
    <x v="4"/>
    <s v="CUST1070"/>
    <x v="83"/>
    <s v="Female"/>
    <n v="55"/>
    <s v="Hyderabad"/>
    <s v="Telangana"/>
    <x v="2"/>
    <x v="0"/>
    <s v="Gadgets"/>
    <x v="3"/>
    <n v="4"/>
    <n v="25000"/>
    <n v="10"/>
    <n v="90000"/>
    <n v="15897.63"/>
    <x v="3"/>
    <s v="Completed"/>
    <x v="5"/>
  </r>
  <r>
    <s v="ORD10422"/>
    <x v="160"/>
    <x v="1"/>
    <x v="4"/>
    <s v="CUST1062"/>
    <x v="21"/>
    <s v="Female"/>
    <n v="32"/>
    <s v="Ahmedabad"/>
    <s v="Gujarat"/>
    <x v="0"/>
    <x v="1"/>
    <s v="Stationery"/>
    <x v="2"/>
    <n v="2"/>
    <n v="150"/>
    <n v="5"/>
    <n v="285"/>
    <n v="61.44"/>
    <x v="3"/>
    <s v="Pending"/>
    <x v="4"/>
  </r>
  <r>
    <s v="ORD10423"/>
    <x v="86"/>
    <x v="1"/>
    <x v="11"/>
    <s v="CUST1148"/>
    <x v="4"/>
    <s v="Male"/>
    <n v="46"/>
    <s v="Mumbai"/>
    <s v="Maharashtra"/>
    <x v="0"/>
    <x v="1"/>
    <s v="Stationery"/>
    <x v="2"/>
    <n v="4"/>
    <n v="150"/>
    <n v="0"/>
    <n v="600"/>
    <n v="122.03"/>
    <x v="4"/>
    <s v="Cancelled"/>
    <x v="4"/>
  </r>
  <r>
    <s v="ORD10424"/>
    <x v="235"/>
    <x v="1"/>
    <x v="10"/>
    <s v="CUST1105"/>
    <x v="160"/>
    <s v="Female"/>
    <n v="20"/>
    <s v="Ahmedabad"/>
    <s v="Gujarat"/>
    <x v="0"/>
    <x v="1"/>
    <s v="Stationery"/>
    <x v="7"/>
    <n v="4"/>
    <n v="120"/>
    <n v="15"/>
    <n v="408"/>
    <n v="108.99"/>
    <x v="2"/>
    <s v="Pending"/>
    <x v="4"/>
  </r>
  <r>
    <s v="ORD10425"/>
    <x v="2"/>
    <x v="0"/>
    <x v="0"/>
    <s v="CUST1134"/>
    <x v="115"/>
    <s v="Female"/>
    <n v="44"/>
    <s v="Ahmedabad"/>
    <s v="Gujarat"/>
    <x v="0"/>
    <x v="3"/>
    <s v="Home"/>
    <x v="8"/>
    <n v="1"/>
    <n v="7000"/>
    <n v="0"/>
    <n v="7000"/>
    <n v="1745.59"/>
    <x v="0"/>
    <s v="Completed"/>
    <x v="2"/>
  </r>
  <r>
    <s v="ORD10426"/>
    <x v="284"/>
    <x v="1"/>
    <x v="5"/>
    <s v="CUST1084"/>
    <x v="44"/>
    <s v="Male"/>
    <n v="52"/>
    <s v="Chennai"/>
    <s v="Tamil Nadu"/>
    <x v="2"/>
    <x v="3"/>
    <s v="Home"/>
    <x v="5"/>
    <n v="1"/>
    <n v="9000"/>
    <n v="20"/>
    <n v="7200"/>
    <n v="857.42"/>
    <x v="2"/>
    <s v="Pending"/>
    <x v="2"/>
  </r>
  <r>
    <s v="ORD10427"/>
    <x v="285"/>
    <x v="1"/>
    <x v="4"/>
    <s v="CUST1113"/>
    <x v="42"/>
    <s v="Female"/>
    <n v="48"/>
    <s v="Pune"/>
    <s v="Maharashtra"/>
    <x v="0"/>
    <x v="3"/>
    <s v="Home"/>
    <x v="5"/>
    <n v="1"/>
    <n v="9000"/>
    <n v="0"/>
    <n v="9000"/>
    <n v="2091.2399999999998"/>
    <x v="2"/>
    <s v="Completed"/>
    <x v="2"/>
  </r>
  <r>
    <s v="ORD10428"/>
    <x v="53"/>
    <x v="0"/>
    <x v="5"/>
    <s v="CUST1124"/>
    <x v="116"/>
    <s v="Female"/>
    <n v="35"/>
    <s v="Bengaluru"/>
    <s v="Karnataka"/>
    <x v="2"/>
    <x v="2"/>
    <s v="Apparel"/>
    <x v="10"/>
    <n v="2"/>
    <n v="800"/>
    <n v="5"/>
    <n v="1520"/>
    <n v="298.58"/>
    <x v="4"/>
    <s v="Completed"/>
    <x v="3"/>
  </r>
  <r>
    <s v="ORD10429"/>
    <x v="91"/>
    <x v="0"/>
    <x v="6"/>
    <s v="CUST1101"/>
    <x v="147"/>
    <s v="Female"/>
    <n v="25"/>
    <s v="Delhi"/>
    <s v="Delhi"/>
    <x v="1"/>
    <x v="3"/>
    <s v="Home"/>
    <x v="5"/>
    <n v="2"/>
    <n v="9000"/>
    <n v="15"/>
    <n v="15300"/>
    <n v="1613.98"/>
    <x v="4"/>
    <s v="Completed"/>
    <x v="0"/>
  </r>
  <r>
    <s v="ORD10430"/>
    <x v="56"/>
    <x v="0"/>
    <x v="7"/>
    <s v="CUST1014"/>
    <x v="155"/>
    <s v="Male"/>
    <n v="30"/>
    <s v="Kolkata"/>
    <s v="West Bengal"/>
    <x v="3"/>
    <x v="1"/>
    <s v="Stationery"/>
    <x v="11"/>
    <n v="3"/>
    <n v="450"/>
    <n v="20"/>
    <n v="1080"/>
    <n v="202.01"/>
    <x v="4"/>
    <s v="Completed"/>
    <x v="2"/>
  </r>
  <r>
    <s v="ORD10431"/>
    <x v="89"/>
    <x v="1"/>
    <x v="6"/>
    <s v="CUST1149"/>
    <x v="153"/>
    <s v="Female"/>
    <n v="21"/>
    <s v="Bengaluru"/>
    <s v="Karnataka"/>
    <x v="2"/>
    <x v="0"/>
    <s v="Gadgets"/>
    <x v="0"/>
    <n v="4"/>
    <n v="12000"/>
    <n v="10"/>
    <n v="43200"/>
    <n v="3942.78"/>
    <x v="4"/>
    <s v="Completed"/>
    <x v="0"/>
  </r>
  <r>
    <s v="ORD10432"/>
    <x v="286"/>
    <x v="1"/>
    <x v="9"/>
    <s v="CUST1103"/>
    <x v="69"/>
    <s v="Male"/>
    <n v="60"/>
    <s v="Delhi"/>
    <s v="Delhi"/>
    <x v="1"/>
    <x v="1"/>
    <s v="Stationery"/>
    <x v="11"/>
    <n v="2"/>
    <n v="450"/>
    <n v="20"/>
    <n v="720"/>
    <n v="175.09"/>
    <x v="0"/>
    <s v="Cancelled"/>
    <x v="0"/>
  </r>
  <r>
    <s v="ORD10433"/>
    <x v="287"/>
    <x v="0"/>
    <x v="0"/>
    <s v="CUST1037"/>
    <x v="42"/>
    <s v="Female"/>
    <n v="55"/>
    <s v="Pune"/>
    <s v="Maharashtra"/>
    <x v="0"/>
    <x v="2"/>
    <s v="Apparel"/>
    <x v="10"/>
    <n v="1"/>
    <n v="800"/>
    <n v="20"/>
    <n v="640"/>
    <n v="103.89"/>
    <x v="0"/>
    <s v="Pending"/>
    <x v="4"/>
  </r>
  <r>
    <s v="ORD10434"/>
    <x v="288"/>
    <x v="0"/>
    <x v="7"/>
    <s v="CUST1051"/>
    <x v="164"/>
    <s v="Male"/>
    <n v="59"/>
    <s v="Chennai"/>
    <s v="Tamil Nadu"/>
    <x v="2"/>
    <x v="1"/>
    <s v="Stationery"/>
    <x v="11"/>
    <n v="4"/>
    <n v="450"/>
    <n v="20"/>
    <n v="1440"/>
    <n v="325.18"/>
    <x v="4"/>
    <s v="Pending"/>
    <x v="4"/>
  </r>
  <r>
    <s v="ORD10435"/>
    <x v="226"/>
    <x v="0"/>
    <x v="5"/>
    <s v="CUST1088"/>
    <x v="81"/>
    <s v="Male"/>
    <n v="28"/>
    <s v="Chennai"/>
    <s v="Tamil Nadu"/>
    <x v="2"/>
    <x v="2"/>
    <s v="Apparel"/>
    <x v="4"/>
    <n v="4"/>
    <n v="1800"/>
    <n v="20"/>
    <n v="5760"/>
    <n v="1176.8900000000001"/>
    <x v="0"/>
    <s v="Cancelled"/>
    <x v="3"/>
  </r>
  <r>
    <s v="ORD10436"/>
    <x v="242"/>
    <x v="1"/>
    <x v="2"/>
    <s v="CUST1044"/>
    <x v="16"/>
    <s v="Female"/>
    <n v="55"/>
    <s v="Pune"/>
    <s v="Maharashtra"/>
    <x v="0"/>
    <x v="2"/>
    <s v="Apparel"/>
    <x v="10"/>
    <n v="5"/>
    <n v="800"/>
    <n v="15"/>
    <n v="3400"/>
    <n v="536.61"/>
    <x v="3"/>
    <s v="Completed"/>
    <x v="1"/>
  </r>
  <r>
    <s v="ORD10437"/>
    <x v="9"/>
    <x v="1"/>
    <x v="4"/>
    <s v="CUST1068"/>
    <x v="85"/>
    <s v="Male"/>
    <n v="39"/>
    <s v="Hyderabad"/>
    <s v="Telangana"/>
    <x v="2"/>
    <x v="2"/>
    <s v="Apparel"/>
    <x v="6"/>
    <n v="3"/>
    <n v="3500"/>
    <n v="15"/>
    <n v="8925"/>
    <n v="727.02"/>
    <x v="2"/>
    <s v="Pending"/>
    <x v="1"/>
  </r>
  <r>
    <s v="ORD10438"/>
    <x v="289"/>
    <x v="0"/>
    <x v="2"/>
    <s v="CUST1118"/>
    <x v="146"/>
    <s v="Female"/>
    <n v="46"/>
    <s v="Ahmedabad"/>
    <s v="Gujarat"/>
    <x v="0"/>
    <x v="1"/>
    <s v="Stationery"/>
    <x v="7"/>
    <n v="4"/>
    <n v="120"/>
    <n v="15"/>
    <n v="408"/>
    <n v="35.28"/>
    <x v="3"/>
    <s v="Completed"/>
    <x v="3"/>
  </r>
  <r>
    <s v="ORD10439"/>
    <x v="101"/>
    <x v="1"/>
    <x v="4"/>
    <s v="CUST1073"/>
    <x v="26"/>
    <s v="Male"/>
    <n v="53"/>
    <s v="Ahmedabad"/>
    <s v="Gujarat"/>
    <x v="0"/>
    <x v="1"/>
    <s v="Stationery"/>
    <x v="7"/>
    <n v="5"/>
    <n v="120"/>
    <n v="20"/>
    <n v="480"/>
    <n v="86.46"/>
    <x v="0"/>
    <s v="Pending"/>
    <x v="0"/>
  </r>
  <r>
    <s v="ORD10440"/>
    <x v="290"/>
    <x v="0"/>
    <x v="7"/>
    <s v="CUST1054"/>
    <x v="79"/>
    <s v="Male"/>
    <n v="33"/>
    <s v="Kolkata"/>
    <s v="West Bengal"/>
    <x v="3"/>
    <x v="0"/>
    <s v="Gadgets"/>
    <x v="0"/>
    <n v="4"/>
    <n v="12000"/>
    <n v="5"/>
    <n v="45600"/>
    <n v="10475.620000000001"/>
    <x v="0"/>
    <s v="Pending"/>
    <x v="2"/>
  </r>
  <r>
    <s v="ORD10441"/>
    <x v="196"/>
    <x v="1"/>
    <x v="5"/>
    <s v="CUST1026"/>
    <x v="50"/>
    <s v="Female"/>
    <n v="49"/>
    <s v="Pune"/>
    <s v="Maharashtra"/>
    <x v="0"/>
    <x v="3"/>
    <s v="Home"/>
    <x v="5"/>
    <n v="1"/>
    <n v="9000"/>
    <n v="10"/>
    <n v="8100"/>
    <n v="763.34"/>
    <x v="4"/>
    <s v="Pending"/>
    <x v="0"/>
  </r>
  <r>
    <s v="ORD10442"/>
    <x v="291"/>
    <x v="0"/>
    <x v="2"/>
    <s v="CUST1103"/>
    <x v="44"/>
    <s v="Female"/>
    <n v="34"/>
    <s v="Kolkata"/>
    <s v="West Bengal"/>
    <x v="3"/>
    <x v="0"/>
    <s v="Gadgets"/>
    <x v="9"/>
    <n v="5"/>
    <n v="65000"/>
    <n v="0"/>
    <n v="325000"/>
    <n v="63010.66"/>
    <x v="0"/>
    <s v="Pending"/>
    <x v="0"/>
  </r>
  <r>
    <s v="ORD10443"/>
    <x v="292"/>
    <x v="1"/>
    <x v="10"/>
    <s v="CUST1140"/>
    <x v="38"/>
    <s v="Female"/>
    <n v="56"/>
    <s v="Bengaluru"/>
    <s v="Karnataka"/>
    <x v="2"/>
    <x v="3"/>
    <s v="Home"/>
    <x v="5"/>
    <n v="5"/>
    <n v="9000"/>
    <n v="15"/>
    <n v="38250"/>
    <n v="6761.9"/>
    <x v="1"/>
    <s v="Completed"/>
    <x v="2"/>
  </r>
  <r>
    <s v="ORD10444"/>
    <x v="157"/>
    <x v="1"/>
    <x v="5"/>
    <s v="CUST1144"/>
    <x v="31"/>
    <s v="Female"/>
    <n v="55"/>
    <s v="Pune"/>
    <s v="Maharashtra"/>
    <x v="0"/>
    <x v="1"/>
    <s v="Stationery"/>
    <x v="11"/>
    <n v="1"/>
    <n v="450"/>
    <n v="15"/>
    <n v="382.5"/>
    <n v="99.43"/>
    <x v="1"/>
    <s v="Completed"/>
    <x v="4"/>
  </r>
  <r>
    <s v="ORD10445"/>
    <x v="31"/>
    <x v="0"/>
    <x v="5"/>
    <s v="CUST1144"/>
    <x v="11"/>
    <s v="Male"/>
    <n v="51"/>
    <s v="Delhi"/>
    <s v="Delhi"/>
    <x v="1"/>
    <x v="2"/>
    <s v="Apparel"/>
    <x v="4"/>
    <n v="1"/>
    <n v="1800"/>
    <n v="15"/>
    <n v="1530"/>
    <n v="172.44"/>
    <x v="4"/>
    <s v="Cancelled"/>
    <x v="3"/>
  </r>
  <r>
    <s v="ORD10446"/>
    <x v="32"/>
    <x v="1"/>
    <x v="2"/>
    <s v="CUST1002"/>
    <x v="82"/>
    <s v="Male"/>
    <n v="50"/>
    <s v="Kolkata"/>
    <s v="West Bengal"/>
    <x v="3"/>
    <x v="3"/>
    <s v="Home"/>
    <x v="12"/>
    <n v="1"/>
    <n v="6000"/>
    <n v="0"/>
    <n v="6000"/>
    <n v="1334.37"/>
    <x v="0"/>
    <s v="Cancelled"/>
    <x v="2"/>
  </r>
  <r>
    <s v="ORD10447"/>
    <x v="265"/>
    <x v="0"/>
    <x v="6"/>
    <s v="CUST1085"/>
    <x v="139"/>
    <s v="Female"/>
    <n v="57"/>
    <s v="Bengaluru"/>
    <s v="Karnataka"/>
    <x v="2"/>
    <x v="0"/>
    <s v="Gadgets"/>
    <x v="3"/>
    <n v="4"/>
    <n v="25000"/>
    <n v="10"/>
    <n v="90000"/>
    <n v="16616.53"/>
    <x v="0"/>
    <s v="Completed"/>
    <x v="1"/>
  </r>
  <r>
    <s v="ORD10448"/>
    <x v="51"/>
    <x v="1"/>
    <x v="2"/>
    <s v="CUST1074"/>
    <x v="43"/>
    <s v="Female"/>
    <n v="40"/>
    <s v="Mumbai"/>
    <s v="Maharashtra"/>
    <x v="0"/>
    <x v="0"/>
    <s v="Gadgets"/>
    <x v="0"/>
    <n v="2"/>
    <n v="12000"/>
    <n v="0"/>
    <n v="24000"/>
    <n v="5880.3"/>
    <x v="2"/>
    <s v="Completed"/>
    <x v="2"/>
  </r>
  <r>
    <s v="ORD10449"/>
    <x v="293"/>
    <x v="0"/>
    <x v="2"/>
    <s v="CUST1105"/>
    <x v="66"/>
    <s v="Female"/>
    <n v="57"/>
    <s v="Mumbai"/>
    <s v="Maharashtra"/>
    <x v="0"/>
    <x v="0"/>
    <s v="Gadgets"/>
    <x v="0"/>
    <n v="2"/>
    <n v="12000"/>
    <n v="10"/>
    <n v="21600"/>
    <n v="3069.76"/>
    <x v="0"/>
    <s v="Completed"/>
    <x v="0"/>
  </r>
  <r>
    <s v="ORD10450"/>
    <x v="294"/>
    <x v="1"/>
    <x v="8"/>
    <s v="CUST1076"/>
    <x v="88"/>
    <s v="Female"/>
    <n v="30"/>
    <s v="Kolkata"/>
    <s v="West Bengal"/>
    <x v="3"/>
    <x v="2"/>
    <s v="Apparel"/>
    <x v="4"/>
    <n v="5"/>
    <n v="1800"/>
    <n v="10"/>
    <n v="8100"/>
    <n v="1917.07"/>
    <x v="3"/>
    <s v="Completed"/>
    <x v="1"/>
  </r>
  <r>
    <s v="ORD10451"/>
    <x v="102"/>
    <x v="1"/>
    <x v="7"/>
    <s v="CUST1075"/>
    <x v="119"/>
    <s v="Male"/>
    <n v="41"/>
    <s v="Delhi"/>
    <s v="Delhi"/>
    <x v="1"/>
    <x v="1"/>
    <s v="Stationery"/>
    <x v="7"/>
    <n v="5"/>
    <n v="120"/>
    <n v="10"/>
    <n v="540"/>
    <n v="103.48"/>
    <x v="1"/>
    <s v="Completed"/>
    <x v="4"/>
  </r>
  <r>
    <s v="ORD10452"/>
    <x v="295"/>
    <x v="0"/>
    <x v="1"/>
    <s v="CUST1084"/>
    <x v="87"/>
    <s v="Female"/>
    <n v="31"/>
    <s v="Bengaluru"/>
    <s v="Karnataka"/>
    <x v="2"/>
    <x v="3"/>
    <s v="Home"/>
    <x v="12"/>
    <n v="2"/>
    <n v="6000"/>
    <n v="20"/>
    <n v="9600"/>
    <n v="2070.64"/>
    <x v="4"/>
    <s v="Completed"/>
    <x v="5"/>
  </r>
  <r>
    <s v="ORD10453"/>
    <x v="19"/>
    <x v="1"/>
    <x v="8"/>
    <s v="CUST1140"/>
    <x v="9"/>
    <s v="Female"/>
    <n v="39"/>
    <s v="Bengaluru"/>
    <s v="Karnataka"/>
    <x v="2"/>
    <x v="0"/>
    <s v="Gadgets"/>
    <x v="1"/>
    <n v="5"/>
    <n v="2500"/>
    <n v="10"/>
    <n v="11250"/>
    <n v="1666.43"/>
    <x v="2"/>
    <s v="Completed"/>
    <x v="0"/>
  </r>
  <r>
    <s v="ORD10454"/>
    <x v="296"/>
    <x v="0"/>
    <x v="7"/>
    <s v="CUST1109"/>
    <x v="86"/>
    <s v="Female"/>
    <n v="35"/>
    <s v="Chennai"/>
    <s v="Tamil Nadu"/>
    <x v="2"/>
    <x v="2"/>
    <s v="Apparel"/>
    <x v="10"/>
    <n v="4"/>
    <n v="800"/>
    <n v="20"/>
    <n v="2560"/>
    <n v="328.33"/>
    <x v="4"/>
    <s v="Cancelled"/>
    <x v="5"/>
  </r>
  <r>
    <s v="ORD10455"/>
    <x v="297"/>
    <x v="1"/>
    <x v="3"/>
    <s v="CUST1136"/>
    <x v="22"/>
    <s v="Female"/>
    <n v="21"/>
    <s v="Pune"/>
    <s v="Maharashtra"/>
    <x v="0"/>
    <x v="1"/>
    <s v="Stationery"/>
    <x v="2"/>
    <n v="5"/>
    <n v="150"/>
    <n v="0"/>
    <n v="750"/>
    <n v="185.78"/>
    <x v="2"/>
    <s v="Cancelled"/>
    <x v="0"/>
  </r>
  <r>
    <s v="ORD10456"/>
    <x v="298"/>
    <x v="1"/>
    <x v="0"/>
    <s v="CUST1062"/>
    <x v="44"/>
    <s v="Female"/>
    <n v="60"/>
    <s v="Chennai"/>
    <s v="Tamil Nadu"/>
    <x v="2"/>
    <x v="1"/>
    <s v="Stationery"/>
    <x v="2"/>
    <n v="3"/>
    <n v="150"/>
    <n v="15"/>
    <n v="382.5"/>
    <n v="39.79"/>
    <x v="4"/>
    <s v="Completed"/>
    <x v="4"/>
  </r>
  <r>
    <s v="ORD10457"/>
    <x v="226"/>
    <x v="0"/>
    <x v="5"/>
    <s v="CUST1025"/>
    <x v="75"/>
    <s v="Male"/>
    <n v="47"/>
    <s v="Bengaluru"/>
    <s v="Karnataka"/>
    <x v="2"/>
    <x v="3"/>
    <s v="Home"/>
    <x v="8"/>
    <n v="3"/>
    <n v="7000"/>
    <n v="15"/>
    <n v="17850"/>
    <n v="2040.2"/>
    <x v="0"/>
    <s v="Completed"/>
    <x v="4"/>
  </r>
  <r>
    <s v="ORD10458"/>
    <x v="214"/>
    <x v="1"/>
    <x v="2"/>
    <s v="CUST1034"/>
    <x v="18"/>
    <s v="Female"/>
    <n v="55"/>
    <s v="Kolkata"/>
    <s v="West Bengal"/>
    <x v="3"/>
    <x v="1"/>
    <s v="Stationery"/>
    <x v="2"/>
    <n v="4"/>
    <n v="150"/>
    <n v="10"/>
    <n v="540"/>
    <n v="149.91"/>
    <x v="0"/>
    <s v="Completed"/>
    <x v="2"/>
  </r>
  <r>
    <s v="ORD10459"/>
    <x v="299"/>
    <x v="1"/>
    <x v="3"/>
    <s v="CUST1103"/>
    <x v="78"/>
    <s v="Female"/>
    <n v="36"/>
    <s v="Kolkata"/>
    <s v="West Bengal"/>
    <x v="3"/>
    <x v="1"/>
    <s v="Stationery"/>
    <x v="2"/>
    <n v="4"/>
    <n v="150"/>
    <n v="10"/>
    <n v="540"/>
    <n v="150.05000000000001"/>
    <x v="0"/>
    <s v="Cancelled"/>
    <x v="4"/>
  </r>
  <r>
    <s v="ORD10460"/>
    <x v="292"/>
    <x v="1"/>
    <x v="10"/>
    <s v="CUST1078"/>
    <x v="123"/>
    <s v="Male"/>
    <n v="37"/>
    <s v="Kolkata"/>
    <s v="West Bengal"/>
    <x v="3"/>
    <x v="0"/>
    <s v="Gadgets"/>
    <x v="0"/>
    <n v="4"/>
    <n v="12000"/>
    <n v="5"/>
    <n v="45600"/>
    <n v="4276.6499999999996"/>
    <x v="2"/>
    <s v="Cancelled"/>
    <x v="2"/>
  </r>
  <r>
    <s v="ORD10461"/>
    <x v="158"/>
    <x v="1"/>
    <x v="5"/>
    <s v="CUST1057"/>
    <x v="155"/>
    <s v="Male"/>
    <n v="45"/>
    <s v="Bengaluru"/>
    <s v="Karnataka"/>
    <x v="2"/>
    <x v="2"/>
    <s v="Apparel"/>
    <x v="10"/>
    <n v="3"/>
    <n v="800"/>
    <n v="10"/>
    <n v="2160"/>
    <n v="549.75"/>
    <x v="0"/>
    <s v="Completed"/>
    <x v="4"/>
  </r>
  <r>
    <s v="ORD10462"/>
    <x v="300"/>
    <x v="0"/>
    <x v="6"/>
    <s v="CUST1078"/>
    <x v="39"/>
    <s v="Female"/>
    <n v="53"/>
    <s v="Hyderabad"/>
    <s v="Telangana"/>
    <x v="2"/>
    <x v="0"/>
    <s v="Gadgets"/>
    <x v="3"/>
    <n v="5"/>
    <n v="25000"/>
    <n v="20"/>
    <n v="100000"/>
    <n v="10124.51"/>
    <x v="1"/>
    <s v="Cancelled"/>
    <x v="2"/>
  </r>
  <r>
    <s v="ORD10463"/>
    <x v="301"/>
    <x v="1"/>
    <x v="9"/>
    <s v="CUST1140"/>
    <x v="105"/>
    <s v="Female"/>
    <n v="22"/>
    <s v="Hyderabad"/>
    <s v="Telangana"/>
    <x v="2"/>
    <x v="1"/>
    <s v="Stationery"/>
    <x v="7"/>
    <n v="2"/>
    <n v="120"/>
    <n v="5"/>
    <n v="228"/>
    <n v="61.43"/>
    <x v="2"/>
    <s v="Completed"/>
    <x v="4"/>
  </r>
  <r>
    <s v="ORD10464"/>
    <x v="291"/>
    <x v="0"/>
    <x v="2"/>
    <s v="CUST1021"/>
    <x v="128"/>
    <s v="Female"/>
    <n v="41"/>
    <s v="Kolkata"/>
    <s v="West Bengal"/>
    <x v="3"/>
    <x v="0"/>
    <s v="Gadgets"/>
    <x v="9"/>
    <n v="3"/>
    <n v="65000"/>
    <n v="10"/>
    <n v="175500"/>
    <n v="40581.56"/>
    <x v="2"/>
    <s v="Cancelled"/>
    <x v="4"/>
  </r>
  <r>
    <s v="ORD10465"/>
    <x v="265"/>
    <x v="0"/>
    <x v="6"/>
    <s v="CUST1004"/>
    <x v="161"/>
    <s v="Male"/>
    <n v="36"/>
    <s v="Kolkata"/>
    <s v="West Bengal"/>
    <x v="3"/>
    <x v="1"/>
    <s v="Stationery"/>
    <x v="2"/>
    <n v="2"/>
    <n v="150"/>
    <n v="15"/>
    <n v="255"/>
    <n v="30.81"/>
    <x v="4"/>
    <s v="Cancelled"/>
    <x v="2"/>
  </r>
  <r>
    <s v="ORD10466"/>
    <x v="302"/>
    <x v="1"/>
    <x v="4"/>
    <s v="CUST1072"/>
    <x v="8"/>
    <s v="Male"/>
    <n v="25"/>
    <s v="Ahmedabad"/>
    <s v="Gujarat"/>
    <x v="0"/>
    <x v="2"/>
    <s v="Apparel"/>
    <x v="10"/>
    <n v="3"/>
    <n v="800"/>
    <n v="0"/>
    <n v="2400"/>
    <n v="356.73"/>
    <x v="3"/>
    <s v="Pending"/>
    <x v="4"/>
  </r>
  <r>
    <s v="ORD10467"/>
    <x v="303"/>
    <x v="1"/>
    <x v="8"/>
    <s v="CUST1083"/>
    <x v="52"/>
    <s v="Male"/>
    <n v="40"/>
    <s v="Delhi"/>
    <s v="Delhi"/>
    <x v="1"/>
    <x v="0"/>
    <s v="Gadgets"/>
    <x v="0"/>
    <n v="4"/>
    <n v="12000"/>
    <n v="20"/>
    <n v="38400"/>
    <n v="7933.33"/>
    <x v="0"/>
    <s v="Completed"/>
    <x v="3"/>
  </r>
  <r>
    <s v="ORD10468"/>
    <x v="76"/>
    <x v="1"/>
    <x v="3"/>
    <s v="CUST1019"/>
    <x v="130"/>
    <s v="Female"/>
    <n v="30"/>
    <s v="Pune"/>
    <s v="Maharashtra"/>
    <x v="0"/>
    <x v="2"/>
    <s v="Apparel"/>
    <x v="10"/>
    <n v="2"/>
    <n v="800"/>
    <n v="20"/>
    <n v="1280"/>
    <n v="169.6"/>
    <x v="3"/>
    <s v="Completed"/>
    <x v="2"/>
  </r>
  <r>
    <s v="ORD10469"/>
    <x v="109"/>
    <x v="1"/>
    <x v="7"/>
    <s v="CUST1039"/>
    <x v="51"/>
    <s v="Female"/>
    <n v="35"/>
    <s v="Mumbai"/>
    <s v="Maharashtra"/>
    <x v="0"/>
    <x v="3"/>
    <s v="Home"/>
    <x v="5"/>
    <n v="5"/>
    <n v="9000"/>
    <n v="20"/>
    <n v="36000"/>
    <n v="4112.2299999999996"/>
    <x v="2"/>
    <s v="Completed"/>
    <x v="0"/>
  </r>
  <r>
    <s v="ORD10470"/>
    <x v="282"/>
    <x v="1"/>
    <x v="2"/>
    <s v="CUST1070"/>
    <x v="79"/>
    <s v="Male"/>
    <n v="27"/>
    <s v="Hyderabad"/>
    <s v="Telangana"/>
    <x v="2"/>
    <x v="3"/>
    <s v="Home"/>
    <x v="12"/>
    <n v="4"/>
    <n v="6000"/>
    <n v="15"/>
    <n v="20400"/>
    <n v="4373.3"/>
    <x v="3"/>
    <s v="Completed"/>
    <x v="5"/>
  </r>
  <r>
    <s v="ORD10471"/>
    <x v="304"/>
    <x v="1"/>
    <x v="4"/>
    <s v="CUST1150"/>
    <x v="147"/>
    <s v="Male"/>
    <n v="21"/>
    <s v="Bengaluru"/>
    <s v="Karnataka"/>
    <x v="2"/>
    <x v="2"/>
    <s v="Apparel"/>
    <x v="4"/>
    <n v="1"/>
    <n v="1800"/>
    <n v="10"/>
    <n v="1620"/>
    <n v="194.53"/>
    <x v="0"/>
    <s v="Completed"/>
    <x v="2"/>
  </r>
  <r>
    <s v="ORD10472"/>
    <x v="78"/>
    <x v="0"/>
    <x v="6"/>
    <s v="CUST1120"/>
    <x v="165"/>
    <s v="Female"/>
    <n v="49"/>
    <s v="Delhi"/>
    <s v="Delhi"/>
    <x v="1"/>
    <x v="2"/>
    <s v="Apparel"/>
    <x v="10"/>
    <n v="3"/>
    <n v="800"/>
    <n v="10"/>
    <n v="2160"/>
    <n v="582.95000000000005"/>
    <x v="0"/>
    <s v="Completed"/>
    <x v="0"/>
  </r>
  <r>
    <s v="ORD10473"/>
    <x v="305"/>
    <x v="0"/>
    <x v="2"/>
    <s v="CUST1135"/>
    <x v="34"/>
    <s v="Female"/>
    <n v="22"/>
    <s v="Bengaluru"/>
    <s v="Karnataka"/>
    <x v="2"/>
    <x v="0"/>
    <s v="Gadgets"/>
    <x v="0"/>
    <n v="2"/>
    <n v="12000"/>
    <n v="5"/>
    <n v="22800"/>
    <n v="2344.64"/>
    <x v="4"/>
    <s v="Completed"/>
    <x v="1"/>
  </r>
  <r>
    <s v="ORD10474"/>
    <x v="255"/>
    <x v="1"/>
    <x v="10"/>
    <s v="CUST1038"/>
    <x v="84"/>
    <s v="Male"/>
    <n v="25"/>
    <s v="Kolkata"/>
    <s v="West Bengal"/>
    <x v="3"/>
    <x v="2"/>
    <s v="Apparel"/>
    <x v="4"/>
    <n v="1"/>
    <n v="1800"/>
    <n v="10"/>
    <n v="1620"/>
    <n v="387.22"/>
    <x v="4"/>
    <s v="Completed"/>
    <x v="2"/>
  </r>
  <r>
    <s v="ORD10475"/>
    <x v="306"/>
    <x v="1"/>
    <x v="4"/>
    <s v="CUST1112"/>
    <x v="120"/>
    <s v="Male"/>
    <n v="53"/>
    <s v="Delhi"/>
    <s v="Delhi"/>
    <x v="1"/>
    <x v="2"/>
    <s v="Apparel"/>
    <x v="6"/>
    <n v="3"/>
    <n v="3500"/>
    <n v="10"/>
    <n v="9450"/>
    <n v="1943.3"/>
    <x v="2"/>
    <s v="Completed"/>
    <x v="1"/>
  </r>
  <r>
    <s v="ORD10476"/>
    <x v="40"/>
    <x v="1"/>
    <x v="3"/>
    <s v="CUST1017"/>
    <x v="64"/>
    <s v="Male"/>
    <n v="29"/>
    <s v="Hyderabad"/>
    <s v="Telangana"/>
    <x v="2"/>
    <x v="0"/>
    <s v="Gadgets"/>
    <x v="9"/>
    <n v="5"/>
    <n v="65000"/>
    <n v="0"/>
    <n v="325000"/>
    <n v="70078.67"/>
    <x v="1"/>
    <s v="Pending"/>
    <x v="1"/>
  </r>
  <r>
    <s v="ORD10477"/>
    <x v="79"/>
    <x v="0"/>
    <x v="1"/>
    <s v="CUST1113"/>
    <x v="120"/>
    <s v="Male"/>
    <n v="53"/>
    <s v="Ahmedabad"/>
    <s v="Gujarat"/>
    <x v="0"/>
    <x v="0"/>
    <s v="Gadgets"/>
    <x v="9"/>
    <n v="3"/>
    <n v="65000"/>
    <n v="5"/>
    <n v="185250"/>
    <n v="27674.880000000001"/>
    <x v="1"/>
    <s v="Completed"/>
    <x v="4"/>
  </r>
  <r>
    <s v="ORD10478"/>
    <x v="54"/>
    <x v="0"/>
    <x v="2"/>
    <s v="CUST1117"/>
    <x v="53"/>
    <s v="Male"/>
    <n v="20"/>
    <s v="Chennai"/>
    <s v="Tamil Nadu"/>
    <x v="2"/>
    <x v="2"/>
    <s v="Apparel"/>
    <x v="4"/>
    <n v="3"/>
    <n v="1800"/>
    <n v="0"/>
    <n v="5400"/>
    <n v="923.63"/>
    <x v="0"/>
    <s v="Pending"/>
    <x v="1"/>
  </r>
  <r>
    <s v="ORD10479"/>
    <x v="307"/>
    <x v="1"/>
    <x v="8"/>
    <s v="CUST1086"/>
    <x v="103"/>
    <s v="Female"/>
    <n v="50"/>
    <s v="Kolkata"/>
    <s v="West Bengal"/>
    <x v="3"/>
    <x v="1"/>
    <s v="Stationery"/>
    <x v="11"/>
    <n v="5"/>
    <n v="450"/>
    <n v="10"/>
    <n v="2025"/>
    <n v="232.93"/>
    <x v="4"/>
    <s v="Completed"/>
    <x v="0"/>
  </r>
  <r>
    <s v="ORD10480"/>
    <x v="308"/>
    <x v="1"/>
    <x v="5"/>
    <s v="CUST1121"/>
    <x v="148"/>
    <s v="Male"/>
    <n v="31"/>
    <s v="Pune"/>
    <s v="Maharashtra"/>
    <x v="0"/>
    <x v="3"/>
    <s v="Home"/>
    <x v="8"/>
    <n v="5"/>
    <n v="7000"/>
    <n v="20"/>
    <n v="28000"/>
    <n v="4283.3999999999996"/>
    <x v="2"/>
    <s v="Completed"/>
    <x v="5"/>
  </r>
  <r>
    <s v="ORD10481"/>
    <x v="309"/>
    <x v="1"/>
    <x v="4"/>
    <s v="CUST1112"/>
    <x v="114"/>
    <s v="Male"/>
    <n v="23"/>
    <s v="Chennai"/>
    <s v="Tamil Nadu"/>
    <x v="2"/>
    <x v="3"/>
    <s v="Home"/>
    <x v="8"/>
    <n v="3"/>
    <n v="7000"/>
    <n v="0"/>
    <n v="21000"/>
    <n v="5856.38"/>
    <x v="1"/>
    <s v="Completed"/>
    <x v="2"/>
  </r>
  <r>
    <s v="ORD10482"/>
    <x v="82"/>
    <x v="0"/>
    <x v="7"/>
    <s v="CUST1009"/>
    <x v="95"/>
    <s v="Female"/>
    <n v="34"/>
    <s v="Mumbai"/>
    <s v="Maharashtra"/>
    <x v="0"/>
    <x v="1"/>
    <s v="Stationery"/>
    <x v="7"/>
    <n v="3"/>
    <n v="120"/>
    <n v="10"/>
    <n v="324"/>
    <n v="60.94"/>
    <x v="4"/>
    <s v="Completed"/>
    <x v="4"/>
  </r>
  <r>
    <s v="ORD10483"/>
    <x v="267"/>
    <x v="1"/>
    <x v="5"/>
    <s v="CUST1082"/>
    <x v="40"/>
    <s v="Female"/>
    <n v="31"/>
    <s v="Chennai"/>
    <s v="Tamil Nadu"/>
    <x v="2"/>
    <x v="0"/>
    <s v="Gadgets"/>
    <x v="1"/>
    <n v="2"/>
    <n v="2500"/>
    <n v="5"/>
    <n v="4750"/>
    <n v="434.53"/>
    <x v="3"/>
    <s v="Completed"/>
    <x v="2"/>
  </r>
  <r>
    <s v="ORD10484"/>
    <x v="46"/>
    <x v="1"/>
    <x v="9"/>
    <s v="CUST1048"/>
    <x v="24"/>
    <s v="Male"/>
    <n v="44"/>
    <s v="Bengaluru"/>
    <s v="Karnataka"/>
    <x v="2"/>
    <x v="0"/>
    <s v="Gadgets"/>
    <x v="0"/>
    <n v="2"/>
    <n v="12000"/>
    <n v="0"/>
    <n v="24000"/>
    <n v="3194.5"/>
    <x v="2"/>
    <s v="Completed"/>
    <x v="2"/>
  </r>
  <r>
    <s v="ORD10485"/>
    <x v="310"/>
    <x v="1"/>
    <x v="4"/>
    <s v="CUST1091"/>
    <x v="113"/>
    <s v="Female"/>
    <n v="40"/>
    <s v="Chennai"/>
    <s v="Tamil Nadu"/>
    <x v="2"/>
    <x v="3"/>
    <s v="Home"/>
    <x v="8"/>
    <n v="4"/>
    <n v="7000"/>
    <n v="15"/>
    <n v="23800"/>
    <n v="3311.29"/>
    <x v="2"/>
    <s v="Cancelled"/>
    <x v="3"/>
  </r>
  <r>
    <s v="ORD10486"/>
    <x v="218"/>
    <x v="0"/>
    <x v="0"/>
    <s v="CUST1029"/>
    <x v="64"/>
    <s v="Female"/>
    <n v="47"/>
    <s v="Chennai"/>
    <s v="Tamil Nadu"/>
    <x v="2"/>
    <x v="3"/>
    <s v="Home"/>
    <x v="12"/>
    <n v="4"/>
    <n v="6000"/>
    <n v="0"/>
    <n v="24000"/>
    <n v="3544.07"/>
    <x v="2"/>
    <s v="Pending"/>
    <x v="1"/>
  </r>
  <r>
    <s v="ORD10487"/>
    <x v="311"/>
    <x v="1"/>
    <x v="2"/>
    <s v="CUST1038"/>
    <x v="166"/>
    <s v="Female"/>
    <n v="51"/>
    <s v="Chennai"/>
    <s v="Tamil Nadu"/>
    <x v="2"/>
    <x v="0"/>
    <s v="Gadgets"/>
    <x v="1"/>
    <n v="4"/>
    <n v="2500"/>
    <n v="15"/>
    <n v="8500"/>
    <n v="1500.3"/>
    <x v="1"/>
    <s v="Completed"/>
    <x v="1"/>
  </r>
  <r>
    <s v="ORD10488"/>
    <x v="312"/>
    <x v="1"/>
    <x v="10"/>
    <s v="CUST1106"/>
    <x v="3"/>
    <s v="Female"/>
    <n v="24"/>
    <s v="Ahmedabad"/>
    <s v="Gujarat"/>
    <x v="0"/>
    <x v="3"/>
    <s v="Home"/>
    <x v="12"/>
    <n v="5"/>
    <n v="6000"/>
    <n v="10"/>
    <n v="27000"/>
    <n v="2280.19"/>
    <x v="1"/>
    <s v="Completed"/>
    <x v="2"/>
  </r>
  <r>
    <s v="ORD10489"/>
    <x v="313"/>
    <x v="1"/>
    <x v="11"/>
    <s v="CUST1109"/>
    <x v="83"/>
    <s v="Male"/>
    <n v="29"/>
    <s v="Chennai"/>
    <s v="Tamil Nadu"/>
    <x v="2"/>
    <x v="1"/>
    <s v="Stationery"/>
    <x v="2"/>
    <n v="1"/>
    <n v="150"/>
    <n v="0"/>
    <n v="150"/>
    <n v="20.12"/>
    <x v="0"/>
    <s v="Completed"/>
    <x v="3"/>
  </r>
  <r>
    <s v="ORD10490"/>
    <x v="314"/>
    <x v="1"/>
    <x v="1"/>
    <s v="CUST1064"/>
    <x v="2"/>
    <s v="Male"/>
    <n v="58"/>
    <s v="Kolkata"/>
    <s v="West Bengal"/>
    <x v="3"/>
    <x v="0"/>
    <s v="Gadgets"/>
    <x v="3"/>
    <n v="4"/>
    <n v="25000"/>
    <n v="0"/>
    <n v="100000"/>
    <n v="15277.72"/>
    <x v="1"/>
    <s v="Completed"/>
    <x v="4"/>
  </r>
  <r>
    <s v="ORD10491"/>
    <x v="136"/>
    <x v="0"/>
    <x v="6"/>
    <s v="CUST1130"/>
    <x v="99"/>
    <s v="Female"/>
    <n v="41"/>
    <s v="Pune"/>
    <s v="Maharashtra"/>
    <x v="0"/>
    <x v="3"/>
    <s v="Home"/>
    <x v="8"/>
    <n v="5"/>
    <n v="7000"/>
    <n v="0"/>
    <n v="35000"/>
    <n v="4622.3999999999996"/>
    <x v="2"/>
    <s v="Completed"/>
    <x v="2"/>
  </r>
  <r>
    <s v="ORD10492"/>
    <x v="315"/>
    <x v="0"/>
    <x v="0"/>
    <s v="CUST1115"/>
    <x v="9"/>
    <s v="Male"/>
    <n v="36"/>
    <s v="Mumbai"/>
    <s v="Maharashtra"/>
    <x v="0"/>
    <x v="2"/>
    <s v="Apparel"/>
    <x v="6"/>
    <n v="4"/>
    <n v="3500"/>
    <n v="0"/>
    <n v="14000"/>
    <n v="3758.08"/>
    <x v="4"/>
    <s v="Completed"/>
    <x v="4"/>
  </r>
  <r>
    <s v="ORD10493"/>
    <x v="105"/>
    <x v="1"/>
    <x v="3"/>
    <s v="CUST1033"/>
    <x v="86"/>
    <s v="Female"/>
    <n v="43"/>
    <s v="Chennai"/>
    <s v="Tamil Nadu"/>
    <x v="2"/>
    <x v="3"/>
    <s v="Home"/>
    <x v="5"/>
    <n v="2"/>
    <n v="9000"/>
    <n v="10"/>
    <n v="16200"/>
    <n v="3446.07"/>
    <x v="0"/>
    <s v="Completed"/>
    <x v="3"/>
  </r>
  <r>
    <s v="ORD10494"/>
    <x v="255"/>
    <x v="1"/>
    <x v="10"/>
    <s v="CUST1095"/>
    <x v="163"/>
    <s v="Female"/>
    <n v="23"/>
    <s v="Delhi"/>
    <s v="Delhi"/>
    <x v="1"/>
    <x v="3"/>
    <s v="Home"/>
    <x v="12"/>
    <n v="4"/>
    <n v="6000"/>
    <n v="5"/>
    <n v="22800"/>
    <n v="3876.23"/>
    <x v="4"/>
    <s v="Completed"/>
    <x v="0"/>
  </r>
  <r>
    <s v="ORD10495"/>
    <x v="316"/>
    <x v="0"/>
    <x v="6"/>
    <s v="CUST1023"/>
    <x v="105"/>
    <s v="Male"/>
    <n v="37"/>
    <s v="Pune"/>
    <s v="Maharashtra"/>
    <x v="0"/>
    <x v="2"/>
    <s v="Apparel"/>
    <x v="6"/>
    <n v="4"/>
    <n v="3500"/>
    <n v="10"/>
    <n v="12600"/>
    <n v="1252.9000000000001"/>
    <x v="3"/>
    <s v="Completed"/>
    <x v="1"/>
  </r>
  <r>
    <s v="ORD10496"/>
    <x v="317"/>
    <x v="1"/>
    <x v="0"/>
    <s v="CUST1140"/>
    <x v="22"/>
    <s v="Male"/>
    <n v="28"/>
    <s v="Delhi"/>
    <s v="Delhi"/>
    <x v="1"/>
    <x v="2"/>
    <s v="Apparel"/>
    <x v="4"/>
    <n v="4"/>
    <n v="1800"/>
    <n v="5"/>
    <n v="6840"/>
    <n v="1503.41"/>
    <x v="3"/>
    <s v="Completed"/>
    <x v="4"/>
  </r>
  <r>
    <s v="ORD10497"/>
    <x v="14"/>
    <x v="1"/>
    <x v="6"/>
    <s v="CUST1039"/>
    <x v="129"/>
    <s v="Female"/>
    <n v="41"/>
    <s v="Chennai"/>
    <s v="Tamil Nadu"/>
    <x v="2"/>
    <x v="1"/>
    <s v="Stationery"/>
    <x v="2"/>
    <n v="2"/>
    <n v="150"/>
    <n v="15"/>
    <n v="255"/>
    <n v="58.62"/>
    <x v="1"/>
    <s v="Pending"/>
    <x v="5"/>
  </r>
  <r>
    <s v="ORD10498"/>
    <x v="22"/>
    <x v="1"/>
    <x v="1"/>
    <s v="CUST1109"/>
    <x v="121"/>
    <s v="Male"/>
    <n v="20"/>
    <s v="Chennai"/>
    <s v="Tamil Nadu"/>
    <x v="2"/>
    <x v="0"/>
    <s v="Gadgets"/>
    <x v="1"/>
    <n v="3"/>
    <n v="2500"/>
    <n v="20"/>
    <n v="6000"/>
    <n v="1471.92"/>
    <x v="0"/>
    <s v="Completed"/>
    <x v="5"/>
  </r>
  <r>
    <s v="ORD10499"/>
    <x v="318"/>
    <x v="1"/>
    <x v="8"/>
    <s v="CUST1051"/>
    <x v="8"/>
    <s v="Male"/>
    <n v="60"/>
    <s v="Kolkata"/>
    <s v="West Bengal"/>
    <x v="3"/>
    <x v="3"/>
    <s v="Home"/>
    <x v="8"/>
    <n v="2"/>
    <n v="7000"/>
    <n v="5"/>
    <n v="13300"/>
    <n v="3443.58"/>
    <x v="4"/>
    <s v="Completed"/>
    <x v="3"/>
  </r>
  <r>
    <s v="ORD10500"/>
    <x v="319"/>
    <x v="0"/>
    <x v="1"/>
    <s v="CUST1083"/>
    <x v="100"/>
    <s v="Male"/>
    <n v="47"/>
    <s v="Hyderabad"/>
    <s v="Telangana"/>
    <x v="2"/>
    <x v="2"/>
    <s v="Apparel"/>
    <x v="10"/>
    <n v="2"/>
    <n v="800"/>
    <n v="5"/>
    <n v="1520"/>
    <n v="417.38"/>
    <x v="4"/>
    <s v="Completed"/>
    <x v="1"/>
  </r>
  <r>
    <s v="ORD10501"/>
    <x v="61"/>
    <x v="1"/>
    <x v="11"/>
    <s v="CUST1030"/>
    <x v="63"/>
    <s v="Female"/>
    <n v="59"/>
    <s v="Hyderabad"/>
    <s v="Telangana"/>
    <x v="2"/>
    <x v="0"/>
    <s v="Gadgets"/>
    <x v="3"/>
    <n v="4"/>
    <n v="25000"/>
    <n v="0"/>
    <n v="100000"/>
    <n v="9260.35"/>
    <x v="1"/>
    <s v="Pending"/>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CA5FF-CF6D-4B0F-AE8C-7FD6536478E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I11:J16"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showAll="0">
      <items count="5">
        <item h="1" x="3"/>
        <item h="1" x="1"/>
        <item x="2"/>
        <item h="1" x="0"/>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6">
        <item h="1" x="0"/>
        <item h="1" x="1"/>
        <item h="1" x="2"/>
        <item x="3"/>
        <item h="1" x="4"/>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1"/>
  </rowFields>
  <rowItems count="5">
    <i>
      <x v="1"/>
    </i>
    <i>
      <x/>
    </i>
    <i>
      <x v="2"/>
    </i>
    <i>
      <x v="3"/>
    </i>
    <i t="grand">
      <x/>
    </i>
  </rowItems>
  <colItems count="1">
    <i/>
  </colItems>
  <dataFields count="1">
    <dataField name="Sum of Profit"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4EDA60-E842-430A-B21C-5A0B3CFB4F1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location ref="J20:K31"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descending">
      <items count="168">
        <item x="43"/>
        <item x="130"/>
        <item x="49"/>
        <item x="4"/>
        <item x="124"/>
        <item x="19"/>
        <item x="90"/>
        <item x="33"/>
        <item x="80"/>
        <item x="120"/>
        <item x="117"/>
        <item x="24"/>
        <item x="16"/>
        <item x="58"/>
        <item x="133"/>
        <item x="119"/>
        <item x="7"/>
        <item x="61"/>
        <item x="53"/>
        <item x="17"/>
        <item x="21"/>
        <item x="162"/>
        <item x="149"/>
        <item x="66"/>
        <item x="32"/>
        <item x="135"/>
        <item x="100"/>
        <item x="164"/>
        <item x="77"/>
        <item x="71"/>
        <item x="81"/>
        <item x="103"/>
        <item x="107"/>
        <item x="15"/>
        <item x="11"/>
        <item x="55"/>
        <item x="147"/>
        <item x="144"/>
        <item x="88"/>
        <item x="112"/>
        <item x="151"/>
        <item x="12"/>
        <item x="138"/>
        <item x="150"/>
        <item x="121"/>
        <item x="158"/>
        <item x="3"/>
        <item x="132"/>
        <item x="76"/>
        <item x="161"/>
        <item x="65"/>
        <item x="97"/>
        <item x="9"/>
        <item x="1"/>
        <item x="140"/>
        <item x="50"/>
        <item x="113"/>
        <item x="111"/>
        <item x="72"/>
        <item x="42"/>
        <item x="89"/>
        <item x="51"/>
        <item x="70"/>
        <item x="60"/>
        <item x="129"/>
        <item x="31"/>
        <item x="102"/>
        <item x="94"/>
        <item x="137"/>
        <item x="114"/>
        <item x="157"/>
        <item x="5"/>
        <item x="74"/>
        <item x="83"/>
        <item x="122"/>
        <item x="99"/>
        <item x="20"/>
        <item x="160"/>
        <item x="18"/>
        <item x="57"/>
        <item x="126"/>
        <item x="159"/>
        <item x="35"/>
        <item x="28"/>
        <item x="63"/>
        <item x="26"/>
        <item x="165"/>
        <item x="93"/>
        <item x="152"/>
        <item x="39"/>
        <item x="92"/>
        <item x="127"/>
        <item x="82"/>
        <item x="23"/>
        <item x="41"/>
        <item x="118"/>
        <item x="34"/>
        <item x="105"/>
        <item x="116"/>
        <item x="69"/>
        <item x="96"/>
        <item x="163"/>
        <item x="153"/>
        <item x="22"/>
        <item x="67"/>
        <item x="109"/>
        <item x="59"/>
        <item x="145"/>
        <item x="91"/>
        <item x="115"/>
        <item x="79"/>
        <item x="48"/>
        <item x="86"/>
        <item x="128"/>
        <item x="154"/>
        <item x="134"/>
        <item x="146"/>
        <item x="123"/>
        <item x="6"/>
        <item x="14"/>
        <item x="37"/>
        <item x="25"/>
        <item x="142"/>
        <item x="40"/>
        <item x="139"/>
        <item x="110"/>
        <item x="10"/>
        <item x="78"/>
        <item x="108"/>
        <item x="46"/>
        <item x="104"/>
        <item x="45"/>
        <item x="136"/>
        <item x="36"/>
        <item x="27"/>
        <item x="2"/>
        <item x="38"/>
        <item x="75"/>
        <item x="56"/>
        <item x="30"/>
        <item x="155"/>
        <item x="54"/>
        <item x="29"/>
        <item x="44"/>
        <item x="8"/>
        <item x="143"/>
        <item x="85"/>
        <item x="87"/>
        <item x="62"/>
        <item x="52"/>
        <item x="47"/>
        <item x="98"/>
        <item x="148"/>
        <item x="95"/>
        <item x="0"/>
        <item x="68"/>
        <item x="73"/>
        <item x="64"/>
        <item x="156"/>
        <item x="84"/>
        <item x="141"/>
        <item x="166"/>
        <item x="13"/>
        <item x="131"/>
        <item x="125"/>
        <item x="106"/>
        <item x="1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3"/>
        <item h="1" x="1"/>
        <item x="2"/>
        <item h="1" x="0"/>
        <item t="default"/>
      </items>
    </pivotField>
    <pivotField showAll="0">
      <items count="5">
        <item x="2"/>
        <item x="0"/>
        <item x="3"/>
        <item x="1"/>
        <item t="default"/>
      </items>
    </pivotField>
    <pivotField showAll="0"/>
    <pivotField showAll="0"/>
    <pivotField showAll="0"/>
    <pivotField showAll="0"/>
    <pivotField showAll="0"/>
    <pivotField dataField="1" showAll="0"/>
    <pivotField showAll="0"/>
    <pivotField showAll="0">
      <items count="6">
        <item h="1" x="0"/>
        <item h="1" x="1"/>
        <item h="1" x="2"/>
        <item x="3"/>
        <item h="1" x="4"/>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5"/>
  </rowFields>
  <rowItems count="11">
    <i>
      <x v="73"/>
    </i>
    <i>
      <x v="110"/>
    </i>
    <i>
      <x v="95"/>
    </i>
    <i>
      <x v="123"/>
    </i>
    <i>
      <x v="38"/>
    </i>
    <i>
      <x v="85"/>
    </i>
    <i>
      <x v="31"/>
    </i>
    <i>
      <x v="60"/>
    </i>
    <i>
      <x v="50"/>
    </i>
    <i>
      <x v="4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1BE812-AB51-4A89-9F8A-48CA4D28FC3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0:M17"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showAll="0">
      <items count="5">
        <item h="1" x="3"/>
        <item h="1" x="1"/>
        <item x="2"/>
        <item h="1" x="0"/>
        <item t="default"/>
      </items>
    </pivotField>
    <pivotField showAll="0">
      <items count="5">
        <item x="2"/>
        <item x="0"/>
        <item x="3"/>
        <item x="1"/>
        <item t="default"/>
      </items>
    </pivotField>
    <pivotField showAll="0"/>
    <pivotField axis="axisRow" showAll="0" measureFilter="1" sortType="descending">
      <items count="14">
        <item x="12"/>
        <item x="5"/>
        <item x="1"/>
        <item x="6"/>
        <item x="4"/>
        <item x="9"/>
        <item x="0"/>
        <item x="2"/>
        <item x="8"/>
        <item x="7"/>
        <item x="11"/>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6">
        <item h="1" x="0"/>
        <item h="1" x="1"/>
        <item h="1" x="2"/>
        <item x="3"/>
        <item h="1" x="4"/>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3"/>
  </rowFields>
  <rowItems count="7">
    <i>
      <x v="11"/>
    </i>
    <i>
      <x/>
    </i>
    <i>
      <x v="12"/>
    </i>
    <i>
      <x v="3"/>
    </i>
    <i>
      <x v="2"/>
    </i>
    <i>
      <x v="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E47167-CB9E-405E-AD19-24D7619C951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location ref="BM9:BN20"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descending">
      <items count="168">
        <item x="43"/>
        <item x="130"/>
        <item x="49"/>
        <item x="4"/>
        <item x="124"/>
        <item x="19"/>
        <item x="90"/>
        <item x="33"/>
        <item x="80"/>
        <item x="120"/>
        <item x="117"/>
        <item x="24"/>
        <item x="16"/>
        <item x="58"/>
        <item x="133"/>
        <item x="119"/>
        <item x="7"/>
        <item x="61"/>
        <item x="53"/>
        <item x="17"/>
        <item x="21"/>
        <item x="162"/>
        <item x="149"/>
        <item x="66"/>
        <item x="32"/>
        <item x="135"/>
        <item x="100"/>
        <item x="164"/>
        <item x="77"/>
        <item x="71"/>
        <item x="81"/>
        <item x="103"/>
        <item x="107"/>
        <item x="15"/>
        <item x="11"/>
        <item x="55"/>
        <item x="147"/>
        <item x="144"/>
        <item x="88"/>
        <item x="112"/>
        <item x="151"/>
        <item x="12"/>
        <item x="138"/>
        <item x="150"/>
        <item x="121"/>
        <item x="158"/>
        <item x="3"/>
        <item x="132"/>
        <item x="76"/>
        <item x="161"/>
        <item x="65"/>
        <item x="97"/>
        <item x="9"/>
        <item x="1"/>
        <item x="140"/>
        <item x="50"/>
        <item x="113"/>
        <item x="111"/>
        <item x="72"/>
        <item x="42"/>
        <item x="89"/>
        <item x="51"/>
        <item x="70"/>
        <item x="60"/>
        <item x="129"/>
        <item x="31"/>
        <item x="102"/>
        <item x="94"/>
        <item x="137"/>
        <item x="114"/>
        <item x="157"/>
        <item x="5"/>
        <item x="74"/>
        <item x="83"/>
        <item x="122"/>
        <item x="99"/>
        <item x="20"/>
        <item x="160"/>
        <item x="18"/>
        <item x="57"/>
        <item x="126"/>
        <item x="159"/>
        <item x="35"/>
        <item x="28"/>
        <item x="63"/>
        <item x="26"/>
        <item x="165"/>
        <item x="93"/>
        <item x="152"/>
        <item x="39"/>
        <item x="92"/>
        <item x="127"/>
        <item x="82"/>
        <item x="23"/>
        <item x="41"/>
        <item x="118"/>
        <item x="34"/>
        <item x="105"/>
        <item x="116"/>
        <item x="69"/>
        <item x="96"/>
        <item x="163"/>
        <item x="153"/>
        <item x="22"/>
        <item x="67"/>
        <item x="109"/>
        <item x="59"/>
        <item x="145"/>
        <item x="91"/>
        <item x="115"/>
        <item x="79"/>
        <item x="48"/>
        <item x="86"/>
        <item x="128"/>
        <item x="154"/>
        <item x="134"/>
        <item x="146"/>
        <item x="123"/>
        <item x="6"/>
        <item x="14"/>
        <item x="37"/>
        <item x="25"/>
        <item x="142"/>
        <item x="40"/>
        <item x="139"/>
        <item x="110"/>
        <item x="10"/>
        <item x="78"/>
        <item x="108"/>
        <item x="46"/>
        <item x="104"/>
        <item x="45"/>
        <item x="136"/>
        <item x="36"/>
        <item x="27"/>
        <item x="2"/>
        <item x="38"/>
        <item x="75"/>
        <item x="56"/>
        <item x="30"/>
        <item x="155"/>
        <item x="54"/>
        <item x="29"/>
        <item x="44"/>
        <item x="8"/>
        <item x="143"/>
        <item x="85"/>
        <item x="87"/>
        <item x="62"/>
        <item x="52"/>
        <item x="47"/>
        <item x="98"/>
        <item x="148"/>
        <item x="95"/>
        <item x="0"/>
        <item x="68"/>
        <item x="73"/>
        <item x="64"/>
        <item x="156"/>
        <item x="84"/>
        <item x="141"/>
        <item x="166"/>
        <item x="13"/>
        <item x="131"/>
        <item x="125"/>
        <item x="106"/>
        <item x="1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3"/>
        <item h="1" x="1"/>
        <item x="2"/>
        <item h="1" x="0"/>
        <item t="default"/>
      </items>
    </pivotField>
    <pivotField showAll="0">
      <items count="5">
        <item x="2"/>
        <item x="0"/>
        <item x="3"/>
        <item x="1"/>
        <item t="default"/>
      </items>
    </pivotField>
    <pivotField showAll="0"/>
    <pivotField showAll="0"/>
    <pivotField showAll="0"/>
    <pivotField showAll="0"/>
    <pivotField showAll="0"/>
    <pivotField dataField="1" showAll="0"/>
    <pivotField showAll="0"/>
    <pivotField showAll="0">
      <items count="6">
        <item h="1" x="0"/>
        <item h="1" x="1"/>
        <item h="1" x="2"/>
        <item x="3"/>
        <item h="1" x="4"/>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5"/>
  </rowFields>
  <rowItems count="11">
    <i>
      <x v="73"/>
    </i>
    <i>
      <x v="19"/>
    </i>
    <i>
      <x v="82"/>
    </i>
    <i>
      <x v="15"/>
    </i>
    <i>
      <x v="110"/>
    </i>
    <i>
      <x v="89"/>
    </i>
    <i>
      <x v="99"/>
    </i>
    <i>
      <x v="16"/>
    </i>
    <i>
      <x v="48"/>
    </i>
    <i>
      <x v="95"/>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E7A6FF-9CA5-430E-BE4E-873B7E8A6F5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PERSON">
  <location ref="G20:H27"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showAll="0">
      <items count="5">
        <item h="1" x="3"/>
        <item h="1" x="1"/>
        <item x="2"/>
        <item h="1" x="0"/>
        <item t="default"/>
      </items>
    </pivotField>
    <pivotField showAll="0">
      <items count="5">
        <item x="2"/>
        <item x="0"/>
        <item x="3"/>
        <item x="1"/>
        <item t="default"/>
      </items>
    </pivotField>
    <pivotField showAll="0"/>
    <pivotField showAll="0"/>
    <pivotField showAll="0"/>
    <pivotField showAll="0"/>
    <pivotField showAll="0"/>
    <pivotField dataField="1" showAll="0"/>
    <pivotField showAll="0"/>
    <pivotField showAll="0">
      <items count="6">
        <item h="1" x="0"/>
        <item h="1" x="1"/>
        <item h="1" x="2"/>
        <item x="3"/>
        <item h="1" x="4"/>
        <item t="default"/>
      </items>
    </pivotField>
    <pivotField showAll="0"/>
    <pivotField axis="axisRow" showAll="0" sortType="descending">
      <items count="7">
        <item x="5"/>
        <item x="4"/>
        <item x="3"/>
        <item x="0"/>
        <item x="1"/>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0"/>
        <item x="1"/>
        <item x="2"/>
        <item x="3"/>
      </items>
    </pivotField>
  </pivotFields>
  <rowFields count="1">
    <field x="21"/>
  </rowFields>
  <rowItems count="7">
    <i>
      <x/>
    </i>
    <i>
      <x v="1"/>
    </i>
    <i>
      <x v="5"/>
    </i>
    <i>
      <x v="3"/>
    </i>
    <i>
      <x v="4"/>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BEA4EB-C3A0-410F-8E38-D5173B39B1A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METHOD">
  <location ref="D20:E22" firstHeaderRow="1" firstDataRow="1" firstDataCol="1"/>
  <pivotFields count="25">
    <pivotField dataField="1"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showAll="0">
      <items count="5">
        <item h="1" x="3"/>
        <item h="1" x="1"/>
        <item x="2"/>
        <item h="1" x="0"/>
        <item t="default"/>
      </items>
    </pivotField>
    <pivotField showAll="0">
      <items count="5">
        <item x="2"/>
        <item x="0"/>
        <item x="3"/>
        <item x="1"/>
        <item t="default"/>
      </items>
    </pivotField>
    <pivotField showAll="0"/>
    <pivotField showAll="0"/>
    <pivotField showAll="0"/>
    <pivotField showAll="0"/>
    <pivotField showAll="0"/>
    <pivotField showAll="0"/>
    <pivotField showAll="0"/>
    <pivotField axis="axisRow" showAll="0" sortType="descending">
      <items count="6">
        <item h="1" x="0"/>
        <item h="1" x="1"/>
        <item h="1" x="2"/>
        <item x="3"/>
        <item h="1" x="4"/>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4">
        <item x="0"/>
        <item x="1"/>
        <item x="2"/>
        <item x="3"/>
      </items>
    </pivotField>
  </pivotFields>
  <rowFields count="1">
    <field x="19"/>
  </rowFields>
  <rowItems count="2">
    <i>
      <x v="3"/>
    </i>
    <i t="grand">
      <x/>
    </i>
  </rowItems>
  <colItems count="1">
    <i/>
  </colItems>
  <dataFields count="1">
    <dataField name="Count of Order_I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9" count="1" selected="0">
            <x v="4"/>
          </reference>
        </references>
      </pivotArea>
    </chartFormat>
    <chartFormat chart="5" format="9">
      <pivotArea type="data" outline="0" fieldPosition="0">
        <references count="2">
          <reference field="4294967294" count="1" selected="0">
            <x v="0"/>
          </reference>
          <reference field="19" count="1" selected="0">
            <x v="2"/>
          </reference>
        </references>
      </pivotArea>
    </chartFormat>
    <chartFormat chart="5" format="10">
      <pivotArea type="data" outline="0" fieldPosition="0">
        <references count="2">
          <reference field="4294967294" count="1" selected="0">
            <x v="0"/>
          </reference>
          <reference field="19" count="1" selected="0">
            <x v="1"/>
          </reference>
        </references>
      </pivotArea>
    </chartFormat>
    <chartFormat chart="5" format="11">
      <pivotArea type="data" outline="0" fieldPosition="0">
        <references count="2">
          <reference field="4294967294" count="1" selected="0">
            <x v="0"/>
          </reference>
          <reference field="19" count="1" selected="0">
            <x v="0"/>
          </reference>
        </references>
      </pivotArea>
    </chartFormat>
    <chartFormat chart="5" format="12">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EA270A-1C94-4A19-B675-FAF8A1C07F0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C11:D16"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showAll="0">
      <items count="5">
        <item h="1" x="3"/>
        <item h="1" x="1"/>
        <item x="2"/>
        <item h="1" x="0"/>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6">
        <item h="1" x="0"/>
        <item h="1" x="1"/>
        <item h="1" x="2"/>
        <item x="3"/>
        <item h="1" x="4"/>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1"/>
  </rowFields>
  <rowItems count="5">
    <i>
      <x v="2"/>
    </i>
    <i>
      <x v="3"/>
    </i>
    <i>
      <x v="1"/>
    </i>
    <i>
      <x/>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F54A56-840A-4A8B-961B-E6AFC7AFDB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PERSON">
  <location ref="BA10:BB17"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showAll="0">
      <items count="5">
        <item h="1" x="3"/>
        <item h="1" x="1"/>
        <item x="2"/>
        <item h="1" x="0"/>
        <item t="default"/>
      </items>
    </pivotField>
    <pivotField showAll="0">
      <items count="5">
        <item x="2"/>
        <item x="0"/>
        <item x="3"/>
        <item x="1"/>
        <item t="default"/>
      </items>
    </pivotField>
    <pivotField showAll="0"/>
    <pivotField showAll="0"/>
    <pivotField showAll="0"/>
    <pivotField showAll="0"/>
    <pivotField showAll="0"/>
    <pivotField dataField="1" showAll="0"/>
    <pivotField showAll="0"/>
    <pivotField showAll="0">
      <items count="6">
        <item h="1" x="0"/>
        <item h="1" x="1"/>
        <item h="1" x="2"/>
        <item x="3"/>
        <item h="1" x="4"/>
        <item t="default"/>
      </items>
    </pivotField>
    <pivotField showAll="0"/>
    <pivotField axis="axisRow" showAll="0" sortType="descending">
      <items count="7">
        <item x="5"/>
        <item x="4"/>
        <item x="3"/>
        <item x="0"/>
        <item x="1"/>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0"/>
        <item x="1"/>
        <item x="2"/>
        <item x="3"/>
      </items>
    </pivotField>
  </pivotFields>
  <rowFields count="1">
    <field x="21"/>
  </rowFields>
  <rowItems count="7">
    <i>
      <x/>
    </i>
    <i>
      <x v="1"/>
    </i>
    <i>
      <x v="5"/>
    </i>
    <i>
      <x v="3"/>
    </i>
    <i>
      <x v="4"/>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5DAE00-3696-45B7-8B1F-FA9B2D3FC25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F11:G13"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showAll="0">
      <items count="3">
        <item x="1"/>
        <item h="1" x="0"/>
        <item t="default"/>
      </items>
    </pivotField>
    <pivotField showAll="0"/>
    <pivotField showAll="0"/>
    <pivotField showAll="0"/>
    <pivotField showAll="0"/>
    <pivotField showAll="0"/>
    <pivotField showAll="0"/>
    <pivotField showAll="0"/>
    <pivotField axis="axisRow" showAll="0" sortType="descending">
      <items count="5">
        <item h="1" x="0"/>
        <item x="2"/>
        <item h="1" x="1"/>
        <item h="1" x="3"/>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pivotField showAll="0"/>
    <pivotField showAll="0"/>
    <pivotField dataField="1" showAll="0"/>
    <pivotField showAll="0"/>
    <pivotField showAll="0">
      <items count="6">
        <item h="1" x="0"/>
        <item h="1" x="1"/>
        <item h="1" x="2"/>
        <item x="3"/>
        <item h="1" x="4"/>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0"/>
  </rowFields>
  <rowItems count="2">
    <i>
      <x v="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2EE006-2F19-4122-BB82-9EB803900C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B24" firstHeaderRow="1" firstDataRow="1" firstDataCol="1"/>
  <pivotFields count="25">
    <pivotField showAll="0"/>
    <pivotField numFmtId="14" showAll="0">
      <items count="321">
        <item x="189"/>
        <item x="264"/>
        <item x="75"/>
        <item x="45"/>
        <item x="182"/>
        <item x="208"/>
        <item x="14"/>
        <item x="89"/>
        <item x="173"/>
        <item x="50"/>
        <item x="176"/>
        <item x="134"/>
        <item x="96"/>
        <item x="111"/>
        <item x="209"/>
        <item x="187"/>
        <item x="194"/>
        <item x="32"/>
        <item x="178"/>
        <item x="195"/>
        <item x="181"/>
        <item x="266"/>
        <item x="238"/>
        <item x="12"/>
        <item x="214"/>
        <item x="139"/>
        <item x="190"/>
        <item x="49"/>
        <item x="51"/>
        <item x="242"/>
        <item x="311"/>
        <item x="282"/>
        <item x="38"/>
        <item x="141"/>
        <item x="277"/>
        <item x="231"/>
        <item x="25"/>
        <item x="113"/>
        <item x="157"/>
        <item x="144"/>
        <item x="158"/>
        <item x="161"/>
        <item x="98"/>
        <item x="249"/>
        <item x="20"/>
        <item x="196"/>
        <item x="133"/>
        <item x="73"/>
        <item x="267"/>
        <item x="59"/>
        <item x="130"/>
        <item x="284"/>
        <item x="308"/>
        <item x="17"/>
        <item x="216"/>
        <item x="43"/>
        <item x="258"/>
        <item x="229"/>
        <item x="142"/>
        <item x="210"/>
        <item x="257"/>
        <item x="280"/>
        <item x="269"/>
        <item x="33"/>
        <item x="72"/>
        <item x="102"/>
        <item x="237"/>
        <item x="109"/>
        <item x="15"/>
        <item x="180"/>
        <item x="165"/>
        <item x="99"/>
        <item x="233"/>
        <item x="317"/>
        <item x="18"/>
        <item x="52"/>
        <item x="171"/>
        <item x="223"/>
        <item x="193"/>
        <item x="174"/>
        <item x="69"/>
        <item x="202"/>
        <item x="298"/>
        <item x="268"/>
        <item x="254"/>
        <item x="314"/>
        <item x="152"/>
        <item x="39"/>
        <item x="24"/>
        <item x="207"/>
        <item x="28"/>
        <item x="97"/>
        <item x="42"/>
        <item x="63"/>
        <item x="253"/>
        <item x="167"/>
        <item x="227"/>
        <item x="93"/>
        <item x="120"/>
        <item x="22"/>
        <item x="200"/>
        <item x="26"/>
        <item x="10"/>
        <item x="247"/>
        <item x="151"/>
        <item x="192"/>
        <item x="84"/>
        <item x="94"/>
        <item x="232"/>
        <item x="90"/>
        <item x="236"/>
        <item x="61"/>
        <item x="198"/>
        <item x="313"/>
        <item x="86"/>
        <item x="168"/>
        <item x="115"/>
        <item x="138"/>
        <item x="197"/>
        <item x="135"/>
        <item x="172"/>
        <item x="81"/>
        <item x="191"/>
        <item x="255"/>
        <item x="47"/>
        <item x="260"/>
        <item x="164"/>
        <item x="235"/>
        <item x="279"/>
        <item x="179"/>
        <item x="271"/>
        <item x="58"/>
        <item x="275"/>
        <item x="186"/>
        <item x="312"/>
        <item x="292"/>
        <item x="105"/>
        <item x="76"/>
        <item x="299"/>
        <item x="147"/>
        <item x="185"/>
        <item x="7"/>
        <item x="213"/>
        <item x="239"/>
        <item x="177"/>
        <item x="41"/>
        <item x="62"/>
        <item x="297"/>
        <item x="34"/>
        <item x="252"/>
        <item x="261"/>
        <item x="124"/>
        <item x="64"/>
        <item x="40"/>
        <item x="163"/>
        <item x="123"/>
        <item x="117"/>
        <item x="19"/>
        <item x="272"/>
        <item x="201"/>
        <item x="294"/>
        <item x="104"/>
        <item x="145"/>
        <item x="126"/>
        <item x="108"/>
        <item x="307"/>
        <item x="83"/>
        <item x="303"/>
        <item x="204"/>
        <item x="276"/>
        <item x="175"/>
        <item x="318"/>
        <item x="125"/>
        <item x="230"/>
        <item x="9"/>
        <item x="114"/>
        <item x="70"/>
        <item x="306"/>
        <item x="21"/>
        <item x="169"/>
        <item x="310"/>
        <item x="304"/>
        <item x="137"/>
        <item x="302"/>
        <item x="160"/>
        <item x="259"/>
        <item x="285"/>
        <item x="101"/>
        <item x="309"/>
        <item x="283"/>
        <item x="286"/>
        <item x="251"/>
        <item x="220"/>
        <item x="162"/>
        <item x="246"/>
        <item x="67"/>
        <item x="228"/>
        <item x="159"/>
        <item x="122"/>
        <item x="183"/>
        <item x="100"/>
        <item x="46"/>
        <item x="301"/>
        <item x="206"/>
        <item x="150"/>
        <item x="215"/>
        <item x="85"/>
        <item x="217"/>
        <item x="60"/>
        <item x="212"/>
        <item x="16"/>
        <item x="68"/>
        <item x="106"/>
        <item x="91"/>
        <item x="107"/>
        <item x="48"/>
        <item x="316"/>
        <item x="110"/>
        <item x="203"/>
        <item x="148"/>
        <item x="143"/>
        <item x="205"/>
        <item x="300"/>
        <item x="270"/>
        <item x="118"/>
        <item x="234"/>
        <item x="78"/>
        <item x="265"/>
        <item x="136"/>
        <item x="23"/>
        <item x="27"/>
        <item x="66"/>
        <item x="6"/>
        <item x="8"/>
        <item x="278"/>
        <item x="128"/>
        <item x="13"/>
        <item x="54"/>
        <item x="244"/>
        <item x="219"/>
        <item x="289"/>
        <item x="305"/>
        <item x="92"/>
        <item x="291"/>
        <item x="293"/>
        <item x="224"/>
        <item x="71"/>
        <item x="245"/>
        <item x="226"/>
        <item x="211"/>
        <item x="53"/>
        <item x="156"/>
        <item x="131"/>
        <item x="80"/>
        <item x="31"/>
        <item x="154"/>
        <item x="30"/>
        <item x="112"/>
        <item x="222"/>
        <item x="281"/>
        <item x="127"/>
        <item x="273"/>
        <item x="11"/>
        <item x="55"/>
        <item x="240"/>
        <item x="256"/>
        <item x="140"/>
        <item x="82"/>
        <item x="29"/>
        <item x="57"/>
        <item x="188"/>
        <item x="88"/>
        <item x="56"/>
        <item x="274"/>
        <item x="241"/>
        <item x="199"/>
        <item x="103"/>
        <item x="74"/>
        <item x="166"/>
        <item x="77"/>
        <item x="296"/>
        <item x="36"/>
        <item x="243"/>
        <item x="116"/>
        <item x="288"/>
        <item x="119"/>
        <item x="290"/>
        <item x="44"/>
        <item x="146"/>
        <item x="65"/>
        <item x="287"/>
        <item x="315"/>
        <item x="248"/>
        <item x="155"/>
        <item x="129"/>
        <item x="149"/>
        <item x="218"/>
        <item x="225"/>
        <item x="121"/>
        <item x="263"/>
        <item x="87"/>
        <item x="170"/>
        <item x="0"/>
        <item x="1"/>
        <item x="2"/>
        <item x="3"/>
        <item x="4"/>
        <item x="5"/>
        <item x="319"/>
        <item x="95"/>
        <item x="221"/>
        <item x="35"/>
        <item x="250"/>
        <item x="262"/>
        <item x="295"/>
        <item x="79"/>
        <item x="132"/>
        <item x="153"/>
        <item x="37"/>
        <item x="184"/>
        <item t="default"/>
      </items>
    </pivotField>
    <pivotField axis="axisRow" showAll="0">
      <items count="3">
        <item x="1"/>
        <item h="1" x="0"/>
        <item t="default"/>
      </items>
    </pivotField>
    <pivotField axis="axisRow" showAll="0">
      <items count="13">
        <item x="6"/>
        <item x="2"/>
        <item x="5"/>
        <item x="7"/>
        <item x="0"/>
        <item x="1"/>
        <item x="11"/>
        <item x="10"/>
        <item x="3"/>
        <item x="8"/>
        <item x="4"/>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2"/>
    <field x="3"/>
  </rowFields>
  <rowItems count="14">
    <i>
      <x/>
    </i>
    <i r="1">
      <x/>
    </i>
    <i r="1">
      <x v="1"/>
    </i>
    <i r="1">
      <x v="2"/>
    </i>
    <i r="1">
      <x v="3"/>
    </i>
    <i r="1">
      <x v="4"/>
    </i>
    <i r="1">
      <x v="5"/>
    </i>
    <i r="1">
      <x v="6"/>
    </i>
    <i r="1">
      <x v="7"/>
    </i>
    <i r="1">
      <x v="8"/>
    </i>
    <i r="1">
      <x v="9"/>
    </i>
    <i r="1">
      <x v="10"/>
    </i>
    <i r="1">
      <x v="11"/>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3D0501-A5E0-4BEC-A33E-535C770D6FFF}" sourceName="Region">
  <pivotTables>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s>
  <data>
    <tabular pivotCacheId="2052538968">
      <items count="4">
        <i x="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E33CE7-94F9-4A8D-8E7E-1CAA5DE83437}" sourceName="Category">
  <pivotTables>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s>
  <data>
    <tabular pivotCacheId="2052538968">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6BC1910-820C-4AD4-9F31-0652B188D8FB}" sourceName="Payment_Method">
  <pivotTables>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s>
  <data>
    <tabular pivotCacheId="2052538968">
      <items count="5">
        <i x="0"/>
        <i x="1"/>
        <i x="2"/>
        <i x="3"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405382-E7E2-44DD-B4CD-06F67E3DAEA6}" sourceName="Year">
  <pivotTables>
    <pivotTable tabId="4" name="PivotTable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s>
  <data>
    <tabular pivotCacheId="205253896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85EC14-D4DE-4701-B950-1B5907943052}" cache="Slicer_Region" caption="Region" rowHeight="241300"/>
  <slicer name="Category" xr10:uid="{C92DDAB8-93E4-417F-ADB7-598D4007CC77}" cache="Slicer_Category" caption="Category" rowHeight="241300"/>
  <slicer name="Payment_Method" xr10:uid="{FE4C6486-EEF6-4971-B809-1CFDBF5AA091}" cache="Slicer_Payment_Method" caption="Payment_Method" rowHeight="241300"/>
  <slicer name="Year 1" xr10:uid="{64254350-A34A-434A-89CC-180B5F0426BB}"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BF9C8-1241-4C3C-A6C6-28A0D4218304}" name="Table1" displayName="Table1" ref="A1:T501" totalsRowShown="0">
  <autoFilter ref="A1:T501" xr:uid="{1C6BF9C8-1241-4C3C-A6C6-28A0D4218304}"/>
  <tableColumns count="20">
    <tableColumn id="1" xr3:uid="{47FB3A75-C373-420E-B1FC-3835ABEF4313}" name="Order_ID"/>
    <tableColumn id="2" xr3:uid="{D8EDCB47-215B-498C-AC70-AEEBCECA2659}" name="Order_Date"/>
    <tableColumn id="3" xr3:uid="{9727EE30-E5B2-4A44-8FAD-52DBBF5B1C3E}" name="Customer_ID"/>
    <tableColumn id="4" xr3:uid="{F82B441D-081B-449E-BCEC-C58DBE0715F4}" name="Customer_Name"/>
    <tableColumn id="5" xr3:uid="{4B0EC908-E50C-41BA-83A4-41BC18FF1919}" name="Gender"/>
    <tableColumn id="6" xr3:uid="{BD457851-F9A5-46DD-8E18-381CC6EFBB3C}" name="Age"/>
    <tableColumn id="7" xr3:uid="{B00807BC-20D7-4DC9-8982-EAA92DE2A165}" name="City"/>
    <tableColumn id="8" xr3:uid="{48FFABF1-BB82-4BF2-A328-A8C81576CD3A}" name="State"/>
    <tableColumn id="9" xr3:uid="{10A30D53-C88A-4EBE-A36F-475BFF7733E0}" name="Region"/>
    <tableColumn id="10" xr3:uid="{071FC512-B16C-40A3-8B86-DDEFC10C7182}" name="Category"/>
    <tableColumn id="11" xr3:uid="{1C1DA224-054C-4330-88C1-A427F7C3B8E4}" name="Sub_Category"/>
    <tableColumn id="12" xr3:uid="{3820C64C-086C-47C5-AF61-3CBDFA04CFD7}" name="Product_Name"/>
    <tableColumn id="13" xr3:uid="{AAE78D2C-4B60-4035-9614-0D0D344E3B65}" name="Quantity"/>
    <tableColumn id="14" xr3:uid="{6356FE3F-7785-4E06-A1D1-E9471B92B6C5}" name="Unit_Price"/>
    <tableColumn id="15" xr3:uid="{5FB224A0-0C7F-4807-88F8-8CDD9487E23B}" name="Discount"/>
    <tableColumn id="16" xr3:uid="{B8048399-80EA-4150-8263-5B7FEDB1BAE5}" name="Sales"/>
    <tableColumn id="17" xr3:uid="{B90DA79F-2722-4D45-BBE8-BD84B781D619}" name="Profit"/>
    <tableColumn id="18" xr3:uid="{E819E1B0-9BF5-4C5F-BB15-5EFC20C608EB}" name="Payment_Method"/>
    <tableColumn id="19" xr3:uid="{DFC6072F-23C3-424A-8B13-668629AF6B89}" name="Order_Status"/>
    <tableColumn id="20" xr3:uid="{7CB44AFD-C0F4-4391-9590-BBB22D7EC5D9}" name="Salespers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0120F8-29C2-48CF-BD9B-0F5A0B30CEF3}" name="Table13" displayName="Table13" ref="A1:V501" totalsRowShown="0">
  <autoFilter ref="A1:V501" xr:uid="{210120F8-29C2-48CF-BD9B-0F5A0B30CEF3}"/>
  <tableColumns count="22">
    <tableColumn id="1" xr3:uid="{E44753A5-CAB8-4CB0-A90D-923860938390}" name="Order_ID"/>
    <tableColumn id="22" xr3:uid="{DDE82786-2B73-444A-93A0-A5F4C462D80C}" name="Order_Date" dataDxfId="2">
      <calculatedColumnFormula>--#REF!</calculatedColumnFormula>
    </tableColumn>
    <tableColumn id="2" xr3:uid="{973B6911-86AF-4C29-A58B-ED8B87C2310B}" name="Year" dataDxfId="1">
      <calculatedColumnFormula>TEXT(B2,"YYYY")</calculatedColumnFormula>
    </tableColumn>
    <tableColumn id="21" xr3:uid="{36964834-EB5C-45DD-AFD9-A757E99904FF}" name="Month" dataDxfId="0">
      <calculatedColumnFormula>TEXT(B2,"mmmm")</calculatedColumnFormula>
    </tableColumn>
    <tableColumn id="3" xr3:uid="{8EC5F412-06BF-470E-A8E7-529227D67003}" name="Customer_ID"/>
    <tableColumn id="4" xr3:uid="{07E70144-2895-4A8B-821D-95694B4F8663}" name="Customer_Name"/>
    <tableColumn id="5" xr3:uid="{319329B8-5F1D-406A-A0D9-E1924FC59EDC}" name="Gender"/>
    <tableColumn id="6" xr3:uid="{359A1CE2-7CFB-4D85-A290-BB890AAA7827}" name="Age"/>
    <tableColumn id="7" xr3:uid="{7DD1A61E-3897-41DF-8660-3DCC846290AD}" name="City"/>
    <tableColumn id="8" xr3:uid="{16E4871A-EF50-4BCD-A3DB-8EF1F7FC34C5}" name="State"/>
    <tableColumn id="9" xr3:uid="{9098FC65-E2DB-4628-93DA-30AF2B50D7F6}" name="Region"/>
    <tableColumn id="10" xr3:uid="{CF0D4B16-3576-4237-BED5-D26A9C9B79CC}" name="Category"/>
    <tableColumn id="11" xr3:uid="{B3CA9D91-07E3-48ED-8562-30834B0B93F9}" name="Sub_Category"/>
    <tableColumn id="12" xr3:uid="{55019051-ED5B-4853-AA2C-157BCF677C4F}" name="Product_Name"/>
    <tableColumn id="13" xr3:uid="{D52FDEC5-0DA2-419D-BED3-A7F8C1DC62A2}" name="Quantity"/>
    <tableColumn id="14" xr3:uid="{AB47ADE3-3217-40A4-B4D4-25D5F32051CA}" name="Unit_Price"/>
    <tableColumn id="15" xr3:uid="{3B3B1449-70EA-4D67-B622-2037C373DA02}" name="Discount"/>
    <tableColumn id="16" xr3:uid="{770A15E2-259D-41DB-924D-4913BC0D0BFB}" name="Sales"/>
    <tableColumn id="17" xr3:uid="{4A64D6C3-3DF3-462A-8000-80572884B93A}" name="Profit"/>
    <tableColumn id="18" xr3:uid="{419FEBC5-1DB2-48FD-A2FC-DBA8D809EA5E}" name="Payment_Method"/>
    <tableColumn id="19" xr3:uid="{EB5F192A-47F7-4092-8309-D6992DDF35CC}" name="Order_Status"/>
    <tableColumn id="20" xr3:uid="{E855CA69-737F-4C58-A4E1-D0D635AF9D22}" name="Salesper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workbookViewId="0">
      <selection activeCell="C14" sqref="C14"/>
    </sheetView>
  </sheetViews>
  <sheetFormatPr defaultRowHeight="14.5" x14ac:dyDescent="0.35"/>
  <cols>
    <col min="1" max="1" width="17.7265625" customWidth="1"/>
    <col min="2" max="2" width="17.26953125" customWidth="1"/>
    <col min="3" max="3" width="13.81640625" customWidth="1"/>
    <col min="4" max="4" width="16.81640625" customWidth="1"/>
    <col min="5" max="5" width="9" customWidth="1"/>
    <col min="7" max="7" width="15.1796875" customWidth="1"/>
    <col min="8" max="8" width="15.453125" customWidth="1"/>
    <col min="10" max="10" width="19.453125" customWidth="1"/>
    <col min="11" max="11" width="14.453125" customWidth="1"/>
    <col min="12" max="12" width="15.453125" customWidth="1"/>
    <col min="13" max="13" width="10.1796875" customWidth="1"/>
    <col min="14" max="14" width="11.453125" customWidth="1"/>
    <col min="15" max="15" width="10.1796875" customWidth="1"/>
    <col min="18" max="18" width="18" customWidth="1"/>
    <col min="19" max="19" width="14" customWidth="1"/>
    <col min="20" max="20" width="12.81640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s="5">
        <v>45776</v>
      </c>
      <c r="C2" t="s">
        <v>21</v>
      </c>
      <c r="D2" t="s">
        <v>22</v>
      </c>
      <c r="E2" t="s">
        <v>23</v>
      </c>
      <c r="F2">
        <v>50</v>
      </c>
      <c r="G2" t="s">
        <v>24</v>
      </c>
      <c r="H2" t="s">
        <v>25</v>
      </c>
      <c r="I2" t="s">
        <v>26</v>
      </c>
      <c r="J2" t="s">
        <v>27</v>
      </c>
      <c r="K2" t="s">
        <v>28</v>
      </c>
      <c r="L2" t="s">
        <v>29</v>
      </c>
      <c r="M2">
        <v>4</v>
      </c>
      <c r="N2">
        <v>12000</v>
      </c>
      <c r="O2">
        <v>0</v>
      </c>
      <c r="P2">
        <v>48000</v>
      </c>
      <c r="Q2">
        <v>9953.11</v>
      </c>
      <c r="R2" t="s">
        <v>30</v>
      </c>
      <c r="S2" t="s">
        <v>31</v>
      </c>
      <c r="T2" t="s">
        <v>32</v>
      </c>
    </row>
    <row r="3" spans="1:20" x14ac:dyDescent="0.35">
      <c r="A3" t="s">
        <v>33</v>
      </c>
      <c r="B3" t="s">
        <v>34</v>
      </c>
      <c r="C3" t="s">
        <v>35</v>
      </c>
      <c r="D3" t="s">
        <v>36</v>
      </c>
      <c r="E3" t="s">
        <v>37</v>
      </c>
      <c r="F3">
        <v>48</v>
      </c>
      <c r="G3" t="s">
        <v>38</v>
      </c>
      <c r="H3" t="s">
        <v>39</v>
      </c>
      <c r="I3" t="s">
        <v>26</v>
      </c>
      <c r="J3" t="s">
        <v>27</v>
      </c>
      <c r="K3" t="s">
        <v>28</v>
      </c>
      <c r="L3" t="s">
        <v>40</v>
      </c>
      <c r="M3">
        <v>4</v>
      </c>
      <c r="N3">
        <v>2500</v>
      </c>
      <c r="O3">
        <v>0</v>
      </c>
      <c r="P3">
        <v>10000</v>
      </c>
      <c r="Q3">
        <v>2319.7600000000002</v>
      </c>
      <c r="R3" t="s">
        <v>41</v>
      </c>
      <c r="S3" t="s">
        <v>31</v>
      </c>
      <c r="T3" t="s">
        <v>32</v>
      </c>
    </row>
    <row r="4" spans="1:20" x14ac:dyDescent="0.35">
      <c r="A4" t="s">
        <v>42</v>
      </c>
      <c r="B4" t="s">
        <v>43</v>
      </c>
      <c r="C4" t="s">
        <v>44</v>
      </c>
      <c r="D4" t="s">
        <v>45</v>
      </c>
      <c r="E4" t="s">
        <v>37</v>
      </c>
      <c r="F4">
        <v>32</v>
      </c>
      <c r="G4" t="s">
        <v>46</v>
      </c>
      <c r="H4" t="s">
        <v>25</v>
      </c>
      <c r="I4" t="s">
        <v>26</v>
      </c>
      <c r="J4" t="s">
        <v>47</v>
      </c>
      <c r="K4" t="s">
        <v>48</v>
      </c>
      <c r="L4" t="s">
        <v>49</v>
      </c>
      <c r="M4">
        <v>3</v>
      </c>
      <c r="N4">
        <v>150</v>
      </c>
      <c r="O4">
        <v>0</v>
      </c>
      <c r="P4">
        <v>450</v>
      </c>
      <c r="Q4">
        <v>96</v>
      </c>
      <c r="R4" t="s">
        <v>50</v>
      </c>
      <c r="S4" t="s">
        <v>51</v>
      </c>
      <c r="T4" t="s">
        <v>52</v>
      </c>
    </row>
    <row r="5" spans="1:20" x14ac:dyDescent="0.35">
      <c r="A5" t="s">
        <v>53</v>
      </c>
      <c r="B5" t="s">
        <v>54</v>
      </c>
      <c r="C5" t="s">
        <v>55</v>
      </c>
      <c r="D5" t="s">
        <v>56</v>
      </c>
      <c r="E5" t="s">
        <v>37</v>
      </c>
      <c r="F5">
        <v>53</v>
      </c>
      <c r="G5" t="s">
        <v>57</v>
      </c>
      <c r="H5" t="s">
        <v>57</v>
      </c>
      <c r="I5" t="s">
        <v>58</v>
      </c>
      <c r="J5" t="s">
        <v>27</v>
      </c>
      <c r="K5" t="s">
        <v>28</v>
      </c>
      <c r="L5" t="s">
        <v>29</v>
      </c>
      <c r="M5">
        <v>1</v>
      </c>
      <c r="N5">
        <v>12000</v>
      </c>
      <c r="O5">
        <v>10</v>
      </c>
      <c r="P5">
        <v>10800</v>
      </c>
      <c r="Q5">
        <v>2357.61</v>
      </c>
      <c r="R5" t="s">
        <v>59</v>
      </c>
      <c r="S5" t="s">
        <v>31</v>
      </c>
      <c r="T5" t="s">
        <v>60</v>
      </c>
    </row>
    <row r="6" spans="1:20" x14ac:dyDescent="0.35">
      <c r="A6" t="s">
        <v>61</v>
      </c>
      <c r="B6" t="s">
        <v>62</v>
      </c>
      <c r="C6" t="s">
        <v>63</v>
      </c>
      <c r="D6" t="s">
        <v>64</v>
      </c>
      <c r="E6" t="s">
        <v>37</v>
      </c>
      <c r="F6">
        <v>40</v>
      </c>
      <c r="G6" t="s">
        <v>57</v>
      </c>
      <c r="H6" t="s">
        <v>57</v>
      </c>
      <c r="I6" t="s">
        <v>58</v>
      </c>
      <c r="J6" t="s">
        <v>47</v>
      </c>
      <c r="K6" t="s">
        <v>48</v>
      </c>
      <c r="L6" t="s">
        <v>49</v>
      </c>
      <c r="M6">
        <v>3</v>
      </c>
      <c r="N6">
        <v>150</v>
      </c>
      <c r="O6">
        <v>10</v>
      </c>
      <c r="P6">
        <v>405</v>
      </c>
      <c r="Q6">
        <v>66.099999999999994</v>
      </c>
      <c r="R6" t="s">
        <v>50</v>
      </c>
      <c r="S6" t="s">
        <v>51</v>
      </c>
      <c r="T6" t="s">
        <v>65</v>
      </c>
    </row>
    <row r="7" spans="1:20" x14ac:dyDescent="0.35">
      <c r="A7" t="s">
        <v>66</v>
      </c>
      <c r="B7" t="s">
        <v>67</v>
      </c>
      <c r="C7" t="s">
        <v>68</v>
      </c>
      <c r="D7" t="s">
        <v>69</v>
      </c>
      <c r="E7" t="s">
        <v>37</v>
      </c>
      <c r="F7">
        <v>51</v>
      </c>
      <c r="G7" t="s">
        <v>38</v>
      </c>
      <c r="H7" t="s">
        <v>39</v>
      </c>
      <c r="I7" t="s">
        <v>26</v>
      </c>
      <c r="J7" t="s">
        <v>27</v>
      </c>
      <c r="K7" t="s">
        <v>28</v>
      </c>
      <c r="L7" t="s">
        <v>40</v>
      </c>
      <c r="M7">
        <v>2</v>
      </c>
      <c r="N7">
        <v>2500</v>
      </c>
      <c r="O7">
        <v>5</v>
      </c>
      <c r="P7">
        <v>4750</v>
      </c>
      <c r="Q7">
        <v>604.80999999999995</v>
      </c>
      <c r="R7" t="s">
        <v>59</v>
      </c>
      <c r="S7" t="s">
        <v>51</v>
      </c>
      <c r="T7" t="s">
        <v>65</v>
      </c>
    </row>
    <row r="8" spans="1:20" x14ac:dyDescent="0.35">
      <c r="A8" t="s">
        <v>70</v>
      </c>
      <c r="B8" t="s">
        <v>71</v>
      </c>
      <c r="C8" t="s">
        <v>63</v>
      </c>
      <c r="D8" t="s">
        <v>72</v>
      </c>
      <c r="E8" t="s">
        <v>23</v>
      </c>
      <c r="F8">
        <v>20</v>
      </c>
      <c r="G8" t="s">
        <v>24</v>
      </c>
      <c r="H8" t="s">
        <v>25</v>
      </c>
      <c r="I8" t="s">
        <v>26</v>
      </c>
      <c r="J8" t="s">
        <v>27</v>
      </c>
      <c r="K8" t="s">
        <v>28</v>
      </c>
      <c r="L8" t="s">
        <v>73</v>
      </c>
      <c r="M8">
        <v>1</v>
      </c>
      <c r="N8">
        <v>25000</v>
      </c>
      <c r="O8">
        <v>0</v>
      </c>
      <c r="P8">
        <v>25000</v>
      </c>
      <c r="Q8">
        <v>5881.37</v>
      </c>
      <c r="R8" t="s">
        <v>59</v>
      </c>
      <c r="S8" t="s">
        <v>31</v>
      </c>
      <c r="T8" t="s">
        <v>52</v>
      </c>
    </row>
    <row r="9" spans="1:20" x14ac:dyDescent="0.35">
      <c r="A9" t="s">
        <v>74</v>
      </c>
      <c r="B9" t="s">
        <v>75</v>
      </c>
      <c r="C9" t="s">
        <v>76</v>
      </c>
      <c r="D9" t="s">
        <v>77</v>
      </c>
      <c r="E9" t="s">
        <v>37</v>
      </c>
      <c r="F9">
        <v>34</v>
      </c>
      <c r="G9" t="s">
        <v>46</v>
      </c>
      <c r="H9" t="s">
        <v>25</v>
      </c>
      <c r="I9" t="s">
        <v>26</v>
      </c>
      <c r="J9" t="s">
        <v>78</v>
      </c>
      <c r="K9" t="s">
        <v>79</v>
      </c>
      <c r="L9" t="s">
        <v>80</v>
      </c>
      <c r="M9">
        <v>2</v>
      </c>
      <c r="N9">
        <v>1800</v>
      </c>
      <c r="O9">
        <v>5</v>
      </c>
      <c r="P9">
        <v>3420</v>
      </c>
      <c r="Q9">
        <v>485.27</v>
      </c>
      <c r="R9" t="s">
        <v>81</v>
      </c>
      <c r="S9" t="s">
        <v>31</v>
      </c>
      <c r="T9" t="s">
        <v>60</v>
      </c>
    </row>
    <row r="10" spans="1:20" x14ac:dyDescent="0.35">
      <c r="A10" t="s">
        <v>82</v>
      </c>
      <c r="B10" t="s">
        <v>83</v>
      </c>
      <c r="C10" t="s">
        <v>84</v>
      </c>
      <c r="D10" t="s">
        <v>85</v>
      </c>
      <c r="E10" t="s">
        <v>37</v>
      </c>
      <c r="F10">
        <v>30</v>
      </c>
      <c r="G10" t="s">
        <v>86</v>
      </c>
      <c r="H10" t="s">
        <v>87</v>
      </c>
      <c r="I10" t="s">
        <v>88</v>
      </c>
      <c r="J10" t="s">
        <v>89</v>
      </c>
      <c r="K10" t="s">
        <v>90</v>
      </c>
      <c r="L10" t="s">
        <v>91</v>
      </c>
      <c r="M10">
        <v>4</v>
      </c>
      <c r="N10">
        <v>9000</v>
      </c>
      <c r="O10">
        <v>0</v>
      </c>
      <c r="P10">
        <v>36000</v>
      </c>
      <c r="Q10">
        <v>5033.87</v>
      </c>
      <c r="R10" t="s">
        <v>50</v>
      </c>
      <c r="S10" t="s">
        <v>92</v>
      </c>
      <c r="T10" t="s">
        <v>93</v>
      </c>
    </row>
    <row r="11" spans="1:20" x14ac:dyDescent="0.35">
      <c r="A11" t="s">
        <v>94</v>
      </c>
      <c r="B11" t="s">
        <v>95</v>
      </c>
      <c r="C11" t="s">
        <v>96</v>
      </c>
      <c r="D11" t="s">
        <v>97</v>
      </c>
      <c r="E11" t="s">
        <v>37</v>
      </c>
      <c r="F11">
        <v>36</v>
      </c>
      <c r="G11" t="s">
        <v>98</v>
      </c>
      <c r="H11" t="s">
        <v>99</v>
      </c>
      <c r="I11" t="s">
        <v>100</v>
      </c>
      <c r="J11" t="s">
        <v>78</v>
      </c>
      <c r="K11" t="s">
        <v>79</v>
      </c>
      <c r="L11" t="s">
        <v>101</v>
      </c>
      <c r="M11">
        <v>5</v>
      </c>
      <c r="N11">
        <v>3500</v>
      </c>
      <c r="O11">
        <v>15</v>
      </c>
      <c r="P11">
        <v>14875</v>
      </c>
      <c r="Q11">
        <v>3672.85</v>
      </c>
      <c r="R11" t="s">
        <v>30</v>
      </c>
      <c r="S11" t="s">
        <v>51</v>
      </c>
      <c r="T11" t="s">
        <v>32</v>
      </c>
    </row>
    <row r="12" spans="1:20" x14ac:dyDescent="0.35">
      <c r="A12" t="s">
        <v>102</v>
      </c>
      <c r="B12" t="s">
        <v>103</v>
      </c>
      <c r="C12" t="s">
        <v>104</v>
      </c>
      <c r="D12" t="s">
        <v>105</v>
      </c>
      <c r="E12" t="s">
        <v>23</v>
      </c>
      <c r="F12">
        <v>54</v>
      </c>
      <c r="G12" t="s">
        <v>57</v>
      </c>
      <c r="H12" t="s">
        <v>57</v>
      </c>
      <c r="I12" t="s">
        <v>58</v>
      </c>
      <c r="J12" t="s">
        <v>27</v>
      </c>
      <c r="K12" t="s">
        <v>28</v>
      </c>
      <c r="L12" t="s">
        <v>73</v>
      </c>
      <c r="M12">
        <v>3</v>
      </c>
      <c r="N12">
        <v>25000</v>
      </c>
      <c r="O12">
        <v>15</v>
      </c>
      <c r="P12">
        <v>63750</v>
      </c>
      <c r="Q12">
        <v>8034.11</v>
      </c>
      <c r="R12" t="s">
        <v>50</v>
      </c>
      <c r="S12" t="s">
        <v>51</v>
      </c>
      <c r="T12" t="s">
        <v>60</v>
      </c>
    </row>
    <row r="13" spans="1:20" x14ac:dyDescent="0.35">
      <c r="A13" t="s">
        <v>106</v>
      </c>
      <c r="B13" t="s">
        <v>107</v>
      </c>
      <c r="C13" t="s">
        <v>108</v>
      </c>
      <c r="D13" t="s">
        <v>109</v>
      </c>
      <c r="E13" t="s">
        <v>37</v>
      </c>
      <c r="F13">
        <v>37</v>
      </c>
      <c r="G13" t="s">
        <v>86</v>
      </c>
      <c r="H13" t="s">
        <v>87</v>
      </c>
      <c r="I13" t="s">
        <v>88</v>
      </c>
      <c r="J13" t="s">
        <v>78</v>
      </c>
      <c r="K13" t="s">
        <v>79</v>
      </c>
      <c r="L13" t="s">
        <v>80</v>
      </c>
      <c r="M13">
        <v>3</v>
      </c>
      <c r="N13">
        <v>1800</v>
      </c>
      <c r="O13">
        <v>0</v>
      </c>
      <c r="P13">
        <v>5400</v>
      </c>
      <c r="Q13">
        <v>466.56</v>
      </c>
      <c r="R13" t="s">
        <v>50</v>
      </c>
      <c r="S13" t="s">
        <v>51</v>
      </c>
      <c r="T13" t="s">
        <v>52</v>
      </c>
    </row>
    <row r="14" spans="1:20" x14ac:dyDescent="0.35">
      <c r="A14" t="s">
        <v>110</v>
      </c>
      <c r="B14" t="s">
        <v>111</v>
      </c>
      <c r="C14" t="s">
        <v>112</v>
      </c>
      <c r="D14" t="s">
        <v>113</v>
      </c>
      <c r="E14" t="s">
        <v>37</v>
      </c>
      <c r="F14">
        <v>29</v>
      </c>
      <c r="G14" t="s">
        <v>114</v>
      </c>
      <c r="H14" t="s">
        <v>115</v>
      </c>
      <c r="I14" t="s">
        <v>88</v>
      </c>
      <c r="J14" t="s">
        <v>47</v>
      </c>
      <c r="K14" t="s">
        <v>48</v>
      </c>
      <c r="L14" t="s">
        <v>116</v>
      </c>
      <c r="M14">
        <v>5</v>
      </c>
      <c r="N14">
        <v>120</v>
      </c>
      <c r="O14">
        <v>0</v>
      </c>
      <c r="P14">
        <v>600</v>
      </c>
      <c r="Q14">
        <v>110.01</v>
      </c>
      <c r="R14" t="s">
        <v>41</v>
      </c>
      <c r="S14" t="s">
        <v>92</v>
      </c>
      <c r="T14" t="s">
        <v>117</v>
      </c>
    </row>
    <row r="15" spans="1:20" x14ac:dyDescent="0.35">
      <c r="A15" t="s">
        <v>118</v>
      </c>
      <c r="B15" t="s">
        <v>119</v>
      </c>
      <c r="C15" t="s">
        <v>120</v>
      </c>
      <c r="D15" t="s">
        <v>121</v>
      </c>
      <c r="E15" t="s">
        <v>23</v>
      </c>
      <c r="F15">
        <v>40</v>
      </c>
      <c r="G15" t="s">
        <v>24</v>
      </c>
      <c r="H15" t="s">
        <v>25</v>
      </c>
      <c r="I15" t="s">
        <v>26</v>
      </c>
      <c r="J15" t="s">
        <v>47</v>
      </c>
      <c r="K15" t="s">
        <v>48</v>
      </c>
      <c r="L15" t="s">
        <v>116</v>
      </c>
      <c r="M15">
        <v>3</v>
      </c>
      <c r="N15">
        <v>120</v>
      </c>
      <c r="O15">
        <v>20</v>
      </c>
      <c r="P15">
        <v>288</v>
      </c>
      <c r="Q15">
        <v>24.17</v>
      </c>
      <c r="R15" t="s">
        <v>81</v>
      </c>
      <c r="S15" t="s">
        <v>31</v>
      </c>
      <c r="T15" t="s">
        <v>52</v>
      </c>
    </row>
    <row r="16" spans="1:20" x14ac:dyDescent="0.35">
      <c r="A16" t="s">
        <v>122</v>
      </c>
      <c r="B16" t="s">
        <v>123</v>
      </c>
      <c r="C16" t="s">
        <v>124</v>
      </c>
      <c r="D16" t="s">
        <v>125</v>
      </c>
      <c r="E16" t="s">
        <v>37</v>
      </c>
      <c r="F16">
        <v>42</v>
      </c>
      <c r="G16" t="s">
        <v>126</v>
      </c>
      <c r="H16" t="s">
        <v>127</v>
      </c>
      <c r="I16" t="s">
        <v>88</v>
      </c>
      <c r="J16" t="s">
        <v>89</v>
      </c>
      <c r="K16" t="s">
        <v>90</v>
      </c>
      <c r="L16" t="s">
        <v>128</v>
      </c>
      <c r="M16">
        <v>2</v>
      </c>
      <c r="N16">
        <v>7000</v>
      </c>
      <c r="O16">
        <v>5</v>
      </c>
      <c r="P16">
        <v>13300</v>
      </c>
      <c r="Q16">
        <v>3244.33</v>
      </c>
      <c r="R16" t="s">
        <v>41</v>
      </c>
      <c r="S16" t="s">
        <v>51</v>
      </c>
      <c r="T16" t="s">
        <v>60</v>
      </c>
    </row>
    <row r="17" spans="1:20" x14ac:dyDescent="0.35">
      <c r="A17" t="s">
        <v>129</v>
      </c>
      <c r="B17" t="s">
        <v>130</v>
      </c>
      <c r="C17" t="s">
        <v>131</v>
      </c>
      <c r="D17" t="s">
        <v>132</v>
      </c>
      <c r="E17" t="s">
        <v>37</v>
      </c>
      <c r="F17">
        <v>47</v>
      </c>
      <c r="G17" t="s">
        <v>24</v>
      </c>
      <c r="H17" t="s">
        <v>25</v>
      </c>
      <c r="I17" t="s">
        <v>26</v>
      </c>
      <c r="J17" t="s">
        <v>89</v>
      </c>
      <c r="K17" t="s">
        <v>90</v>
      </c>
      <c r="L17" t="s">
        <v>128</v>
      </c>
      <c r="M17">
        <v>3</v>
      </c>
      <c r="N17">
        <v>7000</v>
      </c>
      <c r="O17">
        <v>15</v>
      </c>
      <c r="P17">
        <v>17850</v>
      </c>
      <c r="Q17">
        <v>1774.59</v>
      </c>
      <c r="R17" t="s">
        <v>50</v>
      </c>
      <c r="S17" t="s">
        <v>51</v>
      </c>
      <c r="T17" t="s">
        <v>65</v>
      </c>
    </row>
    <row r="18" spans="1:20" x14ac:dyDescent="0.35">
      <c r="A18" t="s">
        <v>133</v>
      </c>
      <c r="B18" t="s">
        <v>134</v>
      </c>
      <c r="C18" t="s">
        <v>135</v>
      </c>
      <c r="D18" t="s">
        <v>136</v>
      </c>
      <c r="E18" t="s">
        <v>23</v>
      </c>
      <c r="F18">
        <v>29</v>
      </c>
      <c r="G18" t="s">
        <v>57</v>
      </c>
      <c r="H18" t="s">
        <v>57</v>
      </c>
      <c r="I18" t="s">
        <v>58</v>
      </c>
      <c r="J18" t="s">
        <v>27</v>
      </c>
      <c r="K18" t="s">
        <v>28</v>
      </c>
      <c r="L18" t="s">
        <v>29</v>
      </c>
      <c r="M18">
        <v>3</v>
      </c>
      <c r="N18">
        <v>12000</v>
      </c>
      <c r="O18">
        <v>10</v>
      </c>
      <c r="P18">
        <v>32400</v>
      </c>
      <c r="Q18">
        <v>8425.4699999999993</v>
      </c>
      <c r="R18" t="s">
        <v>41</v>
      </c>
      <c r="S18" t="s">
        <v>92</v>
      </c>
      <c r="T18" t="s">
        <v>60</v>
      </c>
    </row>
    <row r="19" spans="1:20" x14ac:dyDescent="0.35">
      <c r="A19" t="s">
        <v>137</v>
      </c>
      <c r="B19" t="s">
        <v>138</v>
      </c>
      <c r="C19" t="s">
        <v>139</v>
      </c>
      <c r="D19" t="s">
        <v>56</v>
      </c>
      <c r="E19" t="s">
        <v>23</v>
      </c>
      <c r="F19">
        <v>48</v>
      </c>
      <c r="G19" t="s">
        <v>24</v>
      </c>
      <c r="H19" t="s">
        <v>25</v>
      </c>
      <c r="I19" t="s">
        <v>26</v>
      </c>
      <c r="J19" t="s">
        <v>27</v>
      </c>
      <c r="K19" t="s">
        <v>28</v>
      </c>
      <c r="L19" t="s">
        <v>140</v>
      </c>
      <c r="M19">
        <v>5</v>
      </c>
      <c r="N19">
        <v>65000</v>
      </c>
      <c r="O19">
        <v>20</v>
      </c>
      <c r="P19">
        <v>260000</v>
      </c>
      <c r="Q19">
        <v>34866.49</v>
      </c>
      <c r="R19" t="s">
        <v>41</v>
      </c>
      <c r="S19" t="s">
        <v>92</v>
      </c>
      <c r="T19" t="s">
        <v>93</v>
      </c>
    </row>
    <row r="20" spans="1:20" x14ac:dyDescent="0.35">
      <c r="A20" t="s">
        <v>141</v>
      </c>
      <c r="B20" t="s">
        <v>142</v>
      </c>
      <c r="C20" t="s">
        <v>143</v>
      </c>
      <c r="D20" t="s">
        <v>64</v>
      </c>
      <c r="E20" t="s">
        <v>23</v>
      </c>
      <c r="F20">
        <v>30</v>
      </c>
      <c r="G20" t="s">
        <v>24</v>
      </c>
      <c r="H20" t="s">
        <v>25</v>
      </c>
      <c r="I20" t="s">
        <v>26</v>
      </c>
      <c r="J20" t="s">
        <v>27</v>
      </c>
      <c r="K20" t="s">
        <v>28</v>
      </c>
      <c r="L20" t="s">
        <v>29</v>
      </c>
      <c r="M20">
        <v>2</v>
      </c>
      <c r="N20">
        <v>12000</v>
      </c>
      <c r="O20">
        <v>5</v>
      </c>
      <c r="P20">
        <v>22800</v>
      </c>
      <c r="Q20">
        <v>6098.7</v>
      </c>
      <c r="R20" t="s">
        <v>59</v>
      </c>
      <c r="S20" t="s">
        <v>92</v>
      </c>
      <c r="T20" t="s">
        <v>60</v>
      </c>
    </row>
    <row r="21" spans="1:20" x14ac:dyDescent="0.35">
      <c r="A21" t="s">
        <v>144</v>
      </c>
      <c r="B21" t="s">
        <v>145</v>
      </c>
      <c r="C21" t="s">
        <v>146</v>
      </c>
      <c r="D21" t="s">
        <v>147</v>
      </c>
      <c r="E21" t="s">
        <v>23</v>
      </c>
      <c r="F21">
        <v>58</v>
      </c>
      <c r="G21" t="s">
        <v>38</v>
      </c>
      <c r="H21" t="s">
        <v>39</v>
      </c>
      <c r="I21" t="s">
        <v>26</v>
      </c>
      <c r="J21" t="s">
        <v>78</v>
      </c>
      <c r="K21" t="s">
        <v>79</v>
      </c>
      <c r="L21" t="s">
        <v>80</v>
      </c>
      <c r="M21">
        <v>3</v>
      </c>
      <c r="N21">
        <v>1800</v>
      </c>
      <c r="O21">
        <v>10</v>
      </c>
      <c r="P21">
        <v>4860</v>
      </c>
      <c r="Q21">
        <v>871.64</v>
      </c>
      <c r="R21" t="s">
        <v>30</v>
      </c>
      <c r="S21" t="s">
        <v>51</v>
      </c>
      <c r="T21" t="s">
        <v>93</v>
      </c>
    </row>
    <row r="22" spans="1:20" x14ac:dyDescent="0.35">
      <c r="A22" t="s">
        <v>148</v>
      </c>
      <c r="B22" t="s">
        <v>149</v>
      </c>
      <c r="C22" t="s">
        <v>150</v>
      </c>
      <c r="D22" t="s">
        <v>151</v>
      </c>
      <c r="E22" t="s">
        <v>23</v>
      </c>
      <c r="F22">
        <v>53</v>
      </c>
      <c r="G22" t="s">
        <v>57</v>
      </c>
      <c r="H22" t="s">
        <v>57</v>
      </c>
      <c r="I22" t="s">
        <v>58</v>
      </c>
      <c r="J22" t="s">
        <v>89</v>
      </c>
      <c r="K22" t="s">
        <v>90</v>
      </c>
      <c r="L22" t="s">
        <v>91</v>
      </c>
      <c r="M22">
        <v>3</v>
      </c>
      <c r="N22">
        <v>9000</v>
      </c>
      <c r="O22">
        <v>15</v>
      </c>
      <c r="P22">
        <v>22950</v>
      </c>
      <c r="Q22">
        <v>2841.32</v>
      </c>
      <c r="R22" t="s">
        <v>41</v>
      </c>
      <c r="S22" t="s">
        <v>31</v>
      </c>
      <c r="T22" t="s">
        <v>117</v>
      </c>
    </row>
    <row r="23" spans="1:20" x14ac:dyDescent="0.35">
      <c r="A23" t="s">
        <v>152</v>
      </c>
      <c r="B23" t="s">
        <v>153</v>
      </c>
      <c r="C23" t="s">
        <v>154</v>
      </c>
      <c r="D23" t="s">
        <v>155</v>
      </c>
      <c r="E23" t="s">
        <v>37</v>
      </c>
      <c r="F23">
        <v>33</v>
      </c>
      <c r="G23" t="s">
        <v>46</v>
      </c>
      <c r="H23" t="s">
        <v>25</v>
      </c>
      <c r="I23" t="s">
        <v>26</v>
      </c>
      <c r="J23" t="s">
        <v>78</v>
      </c>
      <c r="K23" t="s">
        <v>79</v>
      </c>
      <c r="L23" t="s">
        <v>156</v>
      </c>
      <c r="M23">
        <v>5</v>
      </c>
      <c r="N23">
        <v>800</v>
      </c>
      <c r="O23">
        <v>5</v>
      </c>
      <c r="P23">
        <v>3800</v>
      </c>
      <c r="Q23">
        <v>877.29</v>
      </c>
      <c r="R23" t="s">
        <v>30</v>
      </c>
      <c r="S23" t="s">
        <v>51</v>
      </c>
      <c r="T23" t="s">
        <v>65</v>
      </c>
    </row>
    <row r="24" spans="1:20" x14ac:dyDescent="0.35">
      <c r="A24" t="s">
        <v>157</v>
      </c>
      <c r="B24" t="s">
        <v>158</v>
      </c>
      <c r="C24" t="s">
        <v>159</v>
      </c>
      <c r="D24" t="s">
        <v>160</v>
      </c>
      <c r="E24" t="s">
        <v>23</v>
      </c>
      <c r="F24">
        <v>45</v>
      </c>
      <c r="G24" t="s">
        <v>46</v>
      </c>
      <c r="H24" t="s">
        <v>25</v>
      </c>
      <c r="I24" t="s">
        <v>26</v>
      </c>
      <c r="J24" t="s">
        <v>78</v>
      </c>
      <c r="K24" t="s">
        <v>79</v>
      </c>
      <c r="L24" t="s">
        <v>101</v>
      </c>
      <c r="M24">
        <v>5</v>
      </c>
      <c r="N24">
        <v>3500</v>
      </c>
      <c r="O24">
        <v>20</v>
      </c>
      <c r="P24">
        <v>14000</v>
      </c>
      <c r="Q24">
        <v>3579.52</v>
      </c>
      <c r="R24" t="s">
        <v>59</v>
      </c>
      <c r="S24" t="s">
        <v>31</v>
      </c>
      <c r="T24" t="s">
        <v>32</v>
      </c>
    </row>
    <row r="25" spans="1:20" x14ac:dyDescent="0.35">
      <c r="A25" t="s">
        <v>161</v>
      </c>
      <c r="B25" t="s">
        <v>162</v>
      </c>
      <c r="C25" t="s">
        <v>163</v>
      </c>
      <c r="D25" t="s">
        <v>164</v>
      </c>
      <c r="E25" t="s">
        <v>23</v>
      </c>
      <c r="F25">
        <v>57</v>
      </c>
      <c r="G25" t="s">
        <v>57</v>
      </c>
      <c r="H25" t="s">
        <v>57</v>
      </c>
      <c r="I25" t="s">
        <v>58</v>
      </c>
      <c r="J25" t="s">
        <v>47</v>
      </c>
      <c r="K25" t="s">
        <v>48</v>
      </c>
      <c r="L25" t="s">
        <v>49</v>
      </c>
      <c r="M25">
        <v>2</v>
      </c>
      <c r="N25">
        <v>150</v>
      </c>
      <c r="O25">
        <v>0</v>
      </c>
      <c r="P25">
        <v>300</v>
      </c>
      <c r="Q25">
        <v>25.18</v>
      </c>
      <c r="R25" t="s">
        <v>81</v>
      </c>
      <c r="S25" t="s">
        <v>92</v>
      </c>
      <c r="T25" t="s">
        <v>93</v>
      </c>
    </row>
    <row r="26" spans="1:20" x14ac:dyDescent="0.35">
      <c r="A26" t="s">
        <v>165</v>
      </c>
      <c r="B26" t="s">
        <v>166</v>
      </c>
      <c r="C26" t="s">
        <v>167</v>
      </c>
      <c r="D26" t="s">
        <v>168</v>
      </c>
      <c r="E26" t="s">
        <v>37</v>
      </c>
      <c r="F26">
        <v>46</v>
      </c>
      <c r="G26" t="s">
        <v>57</v>
      </c>
      <c r="H26" t="s">
        <v>57</v>
      </c>
      <c r="I26" t="s">
        <v>58</v>
      </c>
      <c r="J26" t="s">
        <v>78</v>
      </c>
      <c r="K26" t="s">
        <v>79</v>
      </c>
      <c r="L26" t="s">
        <v>80</v>
      </c>
      <c r="M26">
        <v>3</v>
      </c>
      <c r="N26">
        <v>1800</v>
      </c>
      <c r="O26">
        <v>20</v>
      </c>
      <c r="P26">
        <v>4320</v>
      </c>
      <c r="Q26">
        <v>994.47</v>
      </c>
      <c r="R26" t="s">
        <v>50</v>
      </c>
      <c r="S26" t="s">
        <v>51</v>
      </c>
      <c r="T26" t="s">
        <v>93</v>
      </c>
    </row>
    <row r="27" spans="1:20" x14ac:dyDescent="0.35">
      <c r="A27" t="s">
        <v>169</v>
      </c>
      <c r="B27" t="s">
        <v>170</v>
      </c>
      <c r="C27" t="s">
        <v>171</v>
      </c>
      <c r="D27" t="s">
        <v>125</v>
      </c>
      <c r="E27" t="s">
        <v>23</v>
      </c>
      <c r="F27">
        <v>37</v>
      </c>
      <c r="G27" t="s">
        <v>24</v>
      </c>
      <c r="H27" t="s">
        <v>25</v>
      </c>
      <c r="I27" t="s">
        <v>26</v>
      </c>
      <c r="J27" t="s">
        <v>89</v>
      </c>
      <c r="K27" t="s">
        <v>90</v>
      </c>
      <c r="L27" t="s">
        <v>91</v>
      </c>
      <c r="M27">
        <v>3</v>
      </c>
      <c r="N27">
        <v>9000</v>
      </c>
      <c r="O27">
        <v>15</v>
      </c>
      <c r="P27">
        <v>22950</v>
      </c>
      <c r="Q27">
        <v>2429.62</v>
      </c>
      <c r="R27" t="s">
        <v>50</v>
      </c>
      <c r="S27" t="s">
        <v>51</v>
      </c>
      <c r="T27" t="s">
        <v>65</v>
      </c>
    </row>
    <row r="28" spans="1:20" x14ac:dyDescent="0.35">
      <c r="A28" t="s">
        <v>172</v>
      </c>
      <c r="B28" t="s">
        <v>173</v>
      </c>
      <c r="C28" t="s">
        <v>174</v>
      </c>
      <c r="D28" t="s">
        <v>175</v>
      </c>
      <c r="E28" t="s">
        <v>37</v>
      </c>
      <c r="F28">
        <v>41</v>
      </c>
      <c r="G28" t="s">
        <v>46</v>
      </c>
      <c r="H28" t="s">
        <v>25</v>
      </c>
      <c r="I28" t="s">
        <v>26</v>
      </c>
      <c r="J28" t="s">
        <v>78</v>
      </c>
      <c r="K28" t="s">
        <v>79</v>
      </c>
      <c r="L28" t="s">
        <v>101</v>
      </c>
      <c r="M28">
        <v>4</v>
      </c>
      <c r="N28">
        <v>3500</v>
      </c>
      <c r="O28">
        <v>0</v>
      </c>
      <c r="P28">
        <v>14000</v>
      </c>
      <c r="Q28">
        <v>1621.56</v>
      </c>
      <c r="R28" t="s">
        <v>41</v>
      </c>
      <c r="S28" t="s">
        <v>92</v>
      </c>
      <c r="T28" t="s">
        <v>32</v>
      </c>
    </row>
    <row r="29" spans="1:20" x14ac:dyDescent="0.35">
      <c r="A29" t="s">
        <v>176</v>
      </c>
      <c r="B29" t="s">
        <v>177</v>
      </c>
      <c r="C29" t="s">
        <v>178</v>
      </c>
      <c r="D29" t="s">
        <v>179</v>
      </c>
      <c r="E29" t="s">
        <v>23</v>
      </c>
      <c r="F29">
        <v>44</v>
      </c>
      <c r="G29" t="s">
        <v>98</v>
      </c>
      <c r="H29" t="s">
        <v>99</v>
      </c>
      <c r="I29" t="s">
        <v>100</v>
      </c>
      <c r="J29" t="s">
        <v>27</v>
      </c>
      <c r="K29" t="s">
        <v>28</v>
      </c>
      <c r="L29" t="s">
        <v>140</v>
      </c>
      <c r="M29">
        <v>5</v>
      </c>
      <c r="N29">
        <v>65000</v>
      </c>
      <c r="O29">
        <v>0</v>
      </c>
      <c r="P29">
        <v>325000</v>
      </c>
      <c r="Q29">
        <v>87918.04</v>
      </c>
      <c r="R29" t="s">
        <v>59</v>
      </c>
      <c r="S29" t="s">
        <v>31</v>
      </c>
      <c r="T29" t="s">
        <v>32</v>
      </c>
    </row>
    <row r="30" spans="1:20" x14ac:dyDescent="0.35">
      <c r="A30" t="s">
        <v>180</v>
      </c>
      <c r="B30" t="s">
        <v>181</v>
      </c>
      <c r="C30" t="s">
        <v>146</v>
      </c>
      <c r="D30" t="s">
        <v>182</v>
      </c>
      <c r="E30" t="s">
        <v>23</v>
      </c>
      <c r="F30">
        <v>39</v>
      </c>
      <c r="G30" t="s">
        <v>24</v>
      </c>
      <c r="H30" t="s">
        <v>25</v>
      </c>
      <c r="I30" t="s">
        <v>26</v>
      </c>
      <c r="J30" t="s">
        <v>27</v>
      </c>
      <c r="K30" t="s">
        <v>28</v>
      </c>
      <c r="L30" t="s">
        <v>73</v>
      </c>
      <c r="M30">
        <v>3</v>
      </c>
      <c r="N30">
        <v>25000</v>
      </c>
      <c r="O30">
        <v>5</v>
      </c>
      <c r="P30">
        <v>71250</v>
      </c>
      <c r="Q30">
        <v>19201.22</v>
      </c>
      <c r="R30" t="s">
        <v>81</v>
      </c>
      <c r="S30" t="s">
        <v>51</v>
      </c>
      <c r="T30" t="s">
        <v>60</v>
      </c>
    </row>
    <row r="31" spans="1:20" x14ac:dyDescent="0.35">
      <c r="A31" t="s">
        <v>183</v>
      </c>
      <c r="B31" t="s">
        <v>184</v>
      </c>
      <c r="C31" t="s">
        <v>185</v>
      </c>
      <c r="D31" t="s">
        <v>186</v>
      </c>
      <c r="E31" t="s">
        <v>23</v>
      </c>
      <c r="F31">
        <v>39</v>
      </c>
      <c r="G31" t="s">
        <v>86</v>
      </c>
      <c r="H31" t="s">
        <v>87</v>
      </c>
      <c r="I31" t="s">
        <v>88</v>
      </c>
      <c r="J31" t="s">
        <v>78</v>
      </c>
      <c r="K31" t="s">
        <v>79</v>
      </c>
      <c r="L31" t="s">
        <v>156</v>
      </c>
      <c r="M31">
        <v>4</v>
      </c>
      <c r="N31">
        <v>800</v>
      </c>
      <c r="O31">
        <v>0</v>
      </c>
      <c r="P31">
        <v>3200</v>
      </c>
      <c r="Q31">
        <v>895.45</v>
      </c>
      <c r="R31" t="s">
        <v>59</v>
      </c>
      <c r="S31" t="s">
        <v>92</v>
      </c>
      <c r="T31" t="s">
        <v>52</v>
      </c>
    </row>
    <row r="32" spans="1:20" x14ac:dyDescent="0.35">
      <c r="A32" t="s">
        <v>187</v>
      </c>
      <c r="B32" t="s">
        <v>188</v>
      </c>
      <c r="C32" t="s">
        <v>189</v>
      </c>
      <c r="D32" t="s">
        <v>190</v>
      </c>
      <c r="E32" t="s">
        <v>23</v>
      </c>
      <c r="F32">
        <v>55</v>
      </c>
      <c r="G32" t="s">
        <v>114</v>
      </c>
      <c r="H32" t="s">
        <v>115</v>
      </c>
      <c r="I32" t="s">
        <v>88</v>
      </c>
      <c r="J32" t="s">
        <v>89</v>
      </c>
      <c r="K32" t="s">
        <v>90</v>
      </c>
      <c r="L32" t="s">
        <v>91</v>
      </c>
      <c r="M32">
        <v>3</v>
      </c>
      <c r="N32">
        <v>9000</v>
      </c>
      <c r="O32">
        <v>0</v>
      </c>
      <c r="P32">
        <v>27000</v>
      </c>
      <c r="Q32">
        <v>4304.26</v>
      </c>
      <c r="R32" t="s">
        <v>81</v>
      </c>
      <c r="S32" t="s">
        <v>51</v>
      </c>
      <c r="T32" t="s">
        <v>93</v>
      </c>
    </row>
    <row r="33" spans="1:20" x14ac:dyDescent="0.35">
      <c r="A33" t="s">
        <v>191</v>
      </c>
      <c r="B33" t="s">
        <v>192</v>
      </c>
      <c r="C33" t="s">
        <v>55</v>
      </c>
      <c r="D33" t="s">
        <v>193</v>
      </c>
      <c r="E33" t="s">
        <v>37</v>
      </c>
      <c r="F33">
        <v>44</v>
      </c>
      <c r="G33" t="s">
        <v>46</v>
      </c>
      <c r="H33" t="s">
        <v>25</v>
      </c>
      <c r="I33" t="s">
        <v>26</v>
      </c>
      <c r="J33" t="s">
        <v>27</v>
      </c>
      <c r="K33" t="s">
        <v>28</v>
      </c>
      <c r="L33" t="s">
        <v>40</v>
      </c>
      <c r="M33">
        <v>3</v>
      </c>
      <c r="N33">
        <v>2500</v>
      </c>
      <c r="O33">
        <v>10</v>
      </c>
      <c r="P33">
        <v>6750</v>
      </c>
      <c r="Q33">
        <v>1134.1600000000001</v>
      </c>
      <c r="R33" t="s">
        <v>81</v>
      </c>
      <c r="S33" t="s">
        <v>51</v>
      </c>
      <c r="T33" t="s">
        <v>32</v>
      </c>
    </row>
    <row r="34" spans="1:20" x14ac:dyDescent="0.35">
      <c r="A34" t="s">
        <v>194</v>
      </c>
      <c r="B34" t="s">
        <v>195</v>
      </c>
      <c r="C34" t="s">
        <v>196</v>
      </c>
      <c r="D34" t="s">
        <v>197</v>
      </c>
      <c r="E34" t="s">
        <v>37</v>
      </c>
      <c r="F34">
        <v>26</v>
      </c>
      <c r="G34" t="s">
        <v>114</v>
      </c>
      <c r="H34" t="s">
        <v>115</v>
      </c>
      <c r="I34" t="s">
        <v>88</v>
      </c>
      <c r="J34" t="s">
        <v>27</v>
      </c>
      <c r="K34" t="s">
        <v>28</v>
      </c>
      <c r="L34" t="s">
        <v>40</v>
      </c>
      <c r="M34">
        <v>4</v>
      </c>
      <c r="N34">
        <v>2500</v>
      </c>
      <c r="O34">
        <v>5</v>
      </c>
      <c r="P34">
        <v>9500</v>
      </c>
      <c r="Q34">
        <v>1583.2</v>
      </c>
      <c r="R34" t="s">
        <v>30</v>
      </c>
      <c r="S34" t="s">
        <v>31</v>
      </c>
      <c r="T34" t="s">
        <v>32</v>
      </c>
    </row>
    <row r="35" spans="1:20" x14ac:dyDescent="0.35">
      <c r="A35" t="s">
        <v>198</v>
      </c>
      <c r="B35" t="s">
        <v>199</v>
      </c>
      <c r="C35" t="s">
        <v>200</v>
      </c>
      <c r="D35" t="s">
        <v>201</v>
      </c>
      <c r="E35" t="s">
        <v>23</v>
      </c>
      <c r="F35">
        <v>50</v>
      </c>
      <c r="G35" t="s">
        <v>57</v>
      </c>
      <c r="H35" t="s">
        <v>57</v>
      </c>
      <c r="I35" t="s">
        <v>58</v>
      </c>
      <c r="J35" t="s">
        <v>27</v>
      </c>
      <c r="K35" t="s">
        <v>28</v>
      </c>
      <c r="L35" t="s">
        <v>140</v>
      </c>
      <c r="M35">
        <v>1</v>
      </c>
      <c r="N35">
        <v>65000</v>
      </c>
      <c r="O35">
        <v>20</v>
      </c>
      <c r="P35">
        <v>52000</v>
      </c>
      <c r="Q35">
        <v>5579.81</v>
      </c>
      <c r="R35" t="s">
        <v>41</v>
      </c>
      <c r="S35" t="s">
        <v>31</v>
      </c>
      <c r="T35" t="s">
        <v>60</v>
      </c>
    </row>
    <row r="36" spans="1:20" x14ac:dyDescent="0.35">
      <c r="A36" t="s">
        <v>202</v>
      </c>
      <c r="B36" t="s">
        <v>203</v>
      </c>
      <c r="C36" t="s">
        <v>204</v>
      </c>
      <c r="D36" t="s">
        <v>205</v>
      </c>
      <c r="E36" t="s">
        <v>37</v>
      </c>
      <c r="F36">
        <v>39</v>
      </c>
      <c r="G36" t="s">
        <v>46</v>
      </c>
      <c r="H36" t="s">
        <v>25</v>
      </c>
      <c r="I36" t="s">
        <v>26</v>
      </c>
      <c r="J36" t="s">
        <v>78</v>
      </c>
      <c r="K36" t="s">
        <v>79</v>
      </c>
      <c r="L36" t="s">
        <v>156</v>
      </c>
      <c r="M36">
        <v>2</v>
      </c>
      <c r="N36">
        <v>800</v>
      </c>
      <c r="O36">
        <v>0</v>
      </c>
      <c r="P36">
        <v>1600</v>
      </c>
      <c r="Q36">
        <v>445.53</v>
      </c>
      <c r="R36" t="s">
        <v>81</v>
      </c>
      <c r="S36" t="s">
        <v>51</v>
      </c>
      <c r="T36" t="s">
        <v>93</v>
      </c>
    </row>
    <row r="37" spans="1:20" x14ac:dyDescent="0.35">
      <c r="A37" t="s">
        <v>206</v>
      </c>
      <c r="B37" t="s">
        <v>207</v>
      </c>
      <c r="C37" t="s">
        <v>208</v>
      </c>
      <c r="D37" t="s">
        <v>69</v>
      </c>
      <c r="E37" t="s">
        <v>37</v>
      </c>
      <c r="F37">
        <v>30</v>
      </c>
      <c r="G37" t="s">
        <v>57</v>
      </c>
      <c r="H37" t="s">
        <v>57</v>
      </c>
      <c r="I37" t="s">
        <v>58</v>
      </c>
      <c r="J37" t="s">
        <v>89</v>
      </c>
      <c r="K37" t="s">
        <v>90</v>
      </c>
      <c r="L37" t="s">
        <v>91</v>
      </c>
      <c r="M37">
        <v>5</v>
      </c>
      <c r="N37">
        <v>9000</v>
      </c>
      <c r="O37">
        <v>15</v>
      </c>
      <c r="P37">
        <v>38250</v>
      </c>
      <c r="Q37">
        <v>6693.23</v>
      </c>
      <c r="R37" t="s">
        <v>81</v>
      </c>
      <c r="S37" t="s">
        <v>51</v>
      </c>
      <c r="T37" t="s">
        <v>65</v>
      </c>
    </row>
    <row r="38" spans="1:20" x14ac:dyDescent="0.35">
      <c r="A38" t="s">
        <v>209</v>
      </c>
      <c r="B38" t="s">
        <v>210</v>
      </c>
      <c r="C38" t="s">
        <v>211</v>
      </c>
      <c r="D38" t="s">
        <v>56</v>
      </c>
      <c r="E38" t="s">
        <v>37</v>
      </c>
      <c r="F38">
        <v>38</v>
      </c>
      <c r="G38" t="s">
        <v>86</v>
      </c>
      <c r="H38" t="s">
        <v>87</v>
      </c>
      <c r="I38" t="s">
        <v>88</v>
      </c>
      <c r="J38" t="s">
        <v>78</v>
      </c>
      <c r="K38" t="s">
        <v>79</v>
      </c>
      <c r="L38" t="s">
        <v>80</v>
      </c>
      <c r="M38">
        <v>1</v>
      </c>
      <c r="N38">
        <v>1800</v>
      </c>
      <c r="O38">
        <v>20</v>
      </c>
      <c r="P38">
        <v>1440</v>
      </c>
      <c r="Q38">
        <v>203.68</v>
      </c>
      <c r="R38" t="s">
        <v>41</v>
      </c>
      <c r="S38" t="s">
        <v>51</v>
      </c>
      <c r="T38" t="s">
        <v>93</v>
      </c>
    </row>
    <row r="39" spans="1:20" x14ac:dyDescent="0.35">
      <c r="A39" t="s">
        <v>212</v>
      </c>
      <c r="B39" t="s">
        <v>213</v>
      </c>
      <c r="C39" t="s">
        <v>214</v>
      </c>
      <c r="D39" t="s">
        <v>182</v>
      </c>
      <c r="E39" t="s">
        <v>23</v>
      </c>
      <c r="F39">
        <v>35</v>
      </c>
      <c r="G39" t="s">
        <v>57</v>
      </c>
      <c r="H39" t="s">
        <v>57</v>
      </c>
      <c r="I39" t="s">
        <v>58</v>
      </c>
      <c r="J39" t="s">
        <v>47</v>
      </c>
      <c r="K39" t="s">
        <v>48</v>
      </c>
      <c r="L39" t="s">
        <v>215</v>
      </c>
      <c r="M39">
        <v>3</v>
      </c>
      <c r="N39">
        <v>450</v>
      </c>
      <c r="O39">
        <v>5</v>
      </c>
      <c r="P39">
        <v>1282.5</v>
      </c>
      <c r="Q39">
        <v>217.13</v>
      </c>
      <c r="R39" t="s">
        <v>50</v>
      </c>
      <c r="S39" t="s">
        <v>31</v>
      </c>
      <c r="T39" t="s">
        <v>117</v>
      </c>
    </row>
    <row r="40" spans="1:20" x14ac:dyDescent="0.35">
      <c r="A40" t="s">
        <v>216</v>
      </c>
      <c r="B40" t="s">
        <v>217</v>
      </c>
      <c r="C40" t="s">
        <v>218</v>
      </c>
      <c r="D40" t="s">
        <v>219</v>
      </c>
      <c r="E40" t="s">
        <v>37</v>
      </c>
      <c r="F40">
        <v>54</v>
      </c>
      <c r="G40" t="s">
        <v>46</v>
      </c>
      <c r="H40" t="s">
        <v>25</v>
      </c>
      <c r="I40" t="s">
        <v>26</v>
      </c>
      <c r="J40" t="s">
        <v>89</v>
      </c>
      <c r="K40" t="s">
        <v>90</v>
      </c>
      <c r="L40" t="s">
        <v>91</v>
      </c>
      <c r="M40">
        <v>3</v>
      </c>
      <c r="N40">
        <v>9000</v>
      </c>
      <c r="O40">
        <v>0</v>
      </c>
      <c r="P40">
        <v>27000</v>
      </c>
      <c r="Q40">
        <v>3380.09</v>
      </c>
      <c r="R40" t="s">
        <v>30</v>
      </c>
      <c r="S40" t="s">
        <v>31</v>
      </c>
      <c r="T40" t="s">
        <v>93</v>
      </c>
    </row>
    <row r="41" spans="1:20" x14ac:dyDescent="0.35">
      <c r="A41" t="s">
        <v>220</v>
      </c>
      <c r="B41" t="s">
        <v>221</v>
      </c>
      <c r="C41" t="s">
        <v>146</v>
      </c>
      <c r="D41" t="s">
        <v>222</v>
      </c>
      <c r="E41" t="s">
        <v>37</v>
      </c>
      <c r="F41">
        <v>37</v>
      </c>
      <c r="G41" t="s">
        <v>98</v>
      </c>
      <c r="H41" t="s">
        <v>99</v>
      </c>
      <c r="I41" t="s">
        <v>100</v>
      </c>
      <c r="J41" t="s">
        <v>47</v>
      </c>
      <c r="K41" t="s">
        <v>48</v>
      </c>
      <c r="L41" t="s">
        <v>49</v>
      </c>
      <c r="M41">
        <v>1</v>
      </c>
      <c r="N41">
        <v>150</v>
      </c>
      <c r="O41">
        <v>5</v>
      </c>
      <c r="P41">
        <v>142.5</v>
      </c>
      <c r="Q41">
        <v>21.4</v>
      </c>
      <c r="R41" t="s">
        <v>59</v>
      </c>
      <c r="S41" t="s">
        <v>51</v>
      </c>
      <c r="T41" t="s">
        <v>52</v>
      </c>
    </row>
    <row r="42" spans="1:20" x14ac:dyDescent="0.35">
      <c r="A42" t="s">
        <v>223</v>
      </c>
      <c r="B42" t="s">
        <v>224</v>
      </c>
      <c r="C42" t="s">
        <v>225</v>
      </c>
      <c r="D42" t="s">
        <v>226</v>
      </c>
      <c r="E42" t="s">
        <v>37</v>
      </c>
      <c r="F42">
        <v>25</v>
      </c>
      <c r="G42" t="s">
        <v>24</v>
      </c>
      <c r="H42" t="s">
        <v>25</v>
      </c>
      <c r="I42" t="s">
        <v>26</v>
      </c>
      <c r="J42" t="s">
        <v>27</v>
      </c>
      <c r="K42" t="s">
        <v>28</v>
      </c>
      <c r="L42" t="s">
        <v>140</v>
      </c>
      <c r="M42">
        <v>1</v>
      </c>
      <c r="N42">
        <v>65000</v>
      </c>
      <c r="O42">
        <v>0</v>
      </c>
      <c r="P42">
        <v>65000</v>
      </c>
      <c r="Q42">
        <v>16585.150000000001</v>
      </c>
      <c r="R42" t="s">
        <v>41</v>
      </c>
      <c r="S42" t="s">
        <v>51</v>
      </c>
      <c r="T42" t="s">
        <v>93</v>
      </c>
    </row>
    <row r="43" spans="1:20" x14ac:dyDescent="0.35">
      <c r="A43" t="s">
        <v>227</v>
      </c>
      <c r="B43" t="s">
        <v>228</v>
      </c>
      <c r="C43" t="s">
        <v>229</v>
      </c>
      <c r="D43" t="s">
        <v>230</v>
      </c>
      <c r="E43" t="s">
        <v>37</v>
      </c>
      <c r="F43">
        <v>58</v>
      </c>
      <c r="G43" t="s">
        <v>114</v>
      </c>
      <c r="H43" t="s">
        <v>115</v>
      </c>
      <c r="I43" t="s">
        <v>88</v>
      </c>
      <c r="J43" t="s">
        <v>89</v>
      </c>
      <c r="K43" t="s">
        <v>90</v>
      </c>
      <c r="L43" t="s">
        <v>128</v>
      </c>
      <c r="M43">
        <v>5</v>
      </c>
      <c r="N43">
        <v>7000</v>
      </c>
      <c r="O43">
        <v>20</v>
      </c>
      <c r="P43">
        <v>28000</v>
      </c>
      <c r="Q43">
        <v>6737.12</v>
      </c>
      <c r="R43" t="s">
        <v>30</v>
      </c>
      <c r="S43" t="s">
        <v>92</v>
      </c>
      <c r="T43" t="s">
        <v>60</v>
      </c>
    </row>
    <row r="44" spans="1:20" x14ac:dyDescent="0.35">
      <c r="A44" t="s">
        <v>231</v>
      </c>
      <c r="B44" t="s">
        <v>232</v>
      </c>
      <c r="C44" t="s">
        <v>233</v>
      </c>
      <c r="D44" t="s">
        <v>234</v>
      </c>
      <c r="E44" t="s">
        <v>23</v>
      </c>
      <c r="F44">
        <v>55</v>
      </c>
      <c r="G44" t="s">
        <v>126</v>
      </c>
      <c r="H44" t="s">
        <v>127</v>
      </c>
      <c r="I44" t="s">
        <v>88</v>
      </c>
      <c r="J44" t="s">
        <v>78</v>
      </c>
      <c r="K44" t="s">
        <v>79</v>
      </c>
      <c r="L44" t="s">
        <v>80</v>
      </c>
      <c r="M44">
        <v>1</v>
      </c>
      <c r="N44">
        <v>1800</v>
      </c>
      <c r="O44">
        <v>5</v>
      </c>
      <c r="P44">
        <v>1710</v>
      </c>
      <c r="Q44">
        <v>232.75</v>
      </c>
      <c r="R44" t="s">
        <v>50</v>
      </c>
      <c r="S44" t="s">
        <v>51</v>
      </c>
      <c r="T44" t="s">
        <v>117</v>
      </c>
    </row>
    <row r="45" spans="1:20" x14ac:dyDescent="0.35">
      <c r="A45" t="s">
        <v>235</v>
      </c>
      <c r="B45" t="s">
        <v>236</v>
      </c>
      <c r="C45" t="s">
        <v>237</v>
      </c>
      <c r="D45" t="s">
        <v>238</v>
      </c>
      <c r="E45" t="s">
        <v>37</v>
      </c>
      <c r="F45">
        <v>33</v>
      </c>
      <c r="G45" t="s">
        <v>98</v>
      </c>
      <c r="H45" t="s">
        <v>99</v>
      </c>
      <c r="I45" t="s">
        <v>100</v>
      </c>
      <c r="J45" t="s">
        <v>47</v>
      </c>
      <c r="K45" t="s">
        <v>48</v>
      </c>
      <c r="L45" t="s">
        <v>215</v>
      </c>
      <c r="M45">
        <v>1</v>
      </c>
      <c r="N45">
        <v>450</v>
      </c>
      <c r="O45">
        <v>0</v>
      </c>
      <c r="P45">
        <v>450</v>
      </c>
      <c r="Q45">
        <v>98.72</v>
      </c>
      <c r="R45" t="s">
        <v>81</v>
      </c>
      <c r="S45" t="s">
        <v>51</v>
      </c>
      <c r="T45" t="s">
        <v>65</v>
      </c>
    </row>
    <row r="46" spans="1:20" x14ac:dyDescent="0.35">
      <c r="A46" t="s">
        <v>239</v>
      </c>
      <c r="B46" t="s">
        <v>240</v>
      </c>
      <c r="C46" t="s">
        <v>150</v>
      </c>
      <c r="D46" t="s">
        <v>241</v>
      </c>
      <c r="E46" t="s">
        <v>37</v>
      </c>
      <c r="F46">
        <v>34</v>
      </c>
      <c r="G46" t="s">
        <v>114</v>
      </c>
      <c r="H46" t="s">
        <v>115</v>
      </c>
      <c r="I46" t="s">
        <v>88</v>
      </c>
      <c r="J46" t="s">
        <v>89</v>
      </c>
      <c r="K46" t="s">
        <v>90</v>
      </c>
      <c r="L46" t="s">
        <v>242</v>
      </c>
      <c r="M46">
        <v>1</v>
      </c>
      <c r="N46">
        <v>6000</v>
      </c>
      <c r="O46">
        <v>20</v>
      </c>
      <c r="P46">
        <v>4800</v>
      </c>
      <c r="Q46">
        <v>1037.1400000000001</v>
      </c>
      <c r="R46" t="s">
        <v>50</v>
      </c>
      <c r="S46" t="s">
        <v>51</v>
      </c>
      <c r="T46" t="s">
        <v>60</v>
      </c>
    </row>
    <row r="47" spans="1:20" x14ac:dyDescent="0.35">
      <c r="A47" t="s">
        <v>243</v>
      </c>
      <c r="B47" t="s">
        <v>244</v>
      </c>
      <c r="C47" t="s">
        <v>245</v>
      </c>
      <c r="D47" t="s">
        <v>246</v>
      </c>
      <c r="E47" t="s">
        <v>37</v>
      </c>
      <c r="F47">
        <v>43</v>
      </c>
      <c r="G47" t="s">
        <v>126</v>
      </c>
      <c r="H47" t="s">
        <v>127</v>
      </c>
      <c r="I47" t="s">
        <v>88</v>
      </c>
      <c r="J47" t="s">
        <v>89</v>
      </c>
      <c r="K47" t="s">
        <v>90</v>
      </c>
      <c r="L47" t="s">
        <v>91</v>
      </c>
      <c r="M47">
        <v>2</v>
      </c>
      <c r="N47">
        <v>9000</v>
      </c>
      <c r="O47">
        <v>5</v>
      </c>
      <c r="P47">
        <v>17100</v>
      </c>
      <c r="Q47">
        <v>1472.07</v>
      </c>
      <c r="R47" t="s">
        <v>59</v>
      </c>
      <c r="S47" t="s">
        <v>51</v>
      </c>
      <c r="T47" t="s">
        <v>60</v>
      </c>
    </row>
    <row r="48" spans="1:20" x14ac:dyDescent="0.35">
      <c r="A48" t="s">
        <v>247</v>
      </c>
      <c r="B48" t="s">
        <v>248</v>
      </c>
      <c r="C48" t="s">
        <v>44</v>
      </c>
      <c r="D48" t="s">
        <v>249</v>
      </c>
      <c r="E48" t="s">
        <v>37</v>
      </c>
      <c r="F48">
        <v>25</v>
      </c>
      <c r="G48" t="s">
        <v>86</v>
      </c>
      <c r="H48" t="s">
        <v>87</v>
      </c>
      <c r="I48" t="s">
        <v>88</v>
      </c>
      <c r="J48" t="s">
        <v>47</v>
      </c>
      <c r="K48" t="s">
        <v>48</v>
      </c>
      <c r="L48" t="s">
        <v>116</v>
      </c>
      <c r="M48">
        <v>5</v>
      </c>
      <c r="N48">
        <v>120</v>
      </c>
      <c r="O48">
        <v>15</v>
      </c>
      <c r="P48">
        <v>510</v>
      </c>
      <c r="Q48">
        <v>114.99</v>
      </c>
      <c r="R48" t="s">
        <v>41</v>
      </c>
      <c r="S48" t="s">
        <v>51</v>
      </c>
      <c r="T48" t="s">
        <v>60</v>
      </c>
    </row>
    <row r="49" spans="1:20" x14ac:dyDescent="0.35">
      <c r="A49" t="s">
        <v>250</v>
      </c>
      <c r="B49" t="s">
        <v>251</v>
      </c>
      <c r="C49" t="s">
        <v>252</v>
      </c>
      <c r="D49" t="s">
        <v>253</v>
      </c>
      <c r="E49" t="s">
        <v>23</v>
      </c>
      <c r="F49">
        <v>24</v>
      </c>
      <c r="G49" t="s">
        <v>57</v>
      </c>
      <c r="H49" t="s">
        <v>57</v>
      </c>
      <c r="I49" t="s">
        <v>58</v>
      </c>
      <c r="J49" t="s">
        <v>27</v>
      </c>
      <c r="K49" t="s">
        <v>28</v>
      </c>
      <c r="L49" t="s">
        <v>29</v>
      </c>
      <c r="M49">
        <v>1</v>
      </c>
      <c r="N49">
        <v>12000</v>
      </c>
      <c r="O49">
        <v>15</v>
      </c>
      <c r="P49">
        <v>10200</v>
      </c>
      <c r="Q49">
        <v>1945.54</v>
      </c>
      <c r="R49" t="s">
        <v>41</v>
      </c>
      <c r="S49" t="s">
        <v>51</v>
      </c>
      <c r="T49" t="s">
        <v>52</v>
      </c>
    </row>
    <row r="50" spans="1:20" x14ac:dyDescent="0.35">
      <c r="A50" t="s">
        <v>254</v>
      </c>
      <c r="B50" t="s">
        <v>255</v>
      </c>
      <c r="C50" t="s">
        <v>256</v>
      </c>
      <c r="D50" t="s">
        <v>257</v>
      </c>
      <c r="E50" t="s">
        <v>23</v>
      </c>
      <c r="F50">
        <v>48</v>
      </c>
      <c r="G50" t="s">
        <v>57</v>
      </c>
      <c r="H50" t="s">
        <v>57</v>
      </c>
      <c r="I50" t="s">
        <v>58</v>
      </c>
      <c r="J50" t="s">
        <v>27</v>
      </c>
      <c r="K50" t="s">
        <v>28</v>
      </c>
      <c r="L50" t="s">
        <v>73</v>
      </c>
      <c r="M50">
        <v>4</v>
      </c>
      <c r="N50">
        <v>25000</v>
      </c>
      <c r="O50">
        <v>15</v>
      </c>
      <c r="P50">
        <v>85000</v>
      </c>
      <c r="Q50">
        <v>7186.68</v>
      </c>
      <c r="R50" t="s">
        <v>30</v>
      </c>
      <c r="S50" t="s">
        <v>31</v>
      </c>
      <c r="T50" t="s">
        <v>117</v>
      </c>
    </row>
    <row r="51" spans="1:20" x14ac:dyDescent="0.35">
      <c r="A51" t="s">
        <v>258</v>
      </c>
      <c r="B51" t="s">
        <v>259</v>
      </c>
      <c r="C51" t="s">
        <v>260</v>
      </c>
      <c r="D51" t="s">
        <v>230</v>
      </c>
      <c r="E51" t="s">
        <v>37</v>
      </c>
      <c r="F51">
        <v>40</v>
      </c>
      <c r="G51" t="s">
        <v>114</v>
      </c>
      <c r="H51" t="s">
        <v>115</v>
      </c>
      <c r="I51" t="s">
        <v>88</v>
      </c>
      <c r="J51" t="s">
        <v>89</v>
      </c>
      <c r="K51" t="s">
        <v>90</v>
      </c>
      <c r="L51" t="s">
        <v>91</v>
      </c>
      <c r="M51">
        <v>3</v>
      </c>
      <c r="N51">
        <v>9000</v>
      </c>
      <c r="O51">
        <v>5</v>
      </c>
      <c r="P51">
        <v>25650</v>
      </c>
      <c r="Q51">
        <v>2752.66</v>
      </c>
      <c r="R51" t="s">
        <v>59</v>
      </c>
      <c r="S51" t="s">
        <v>51</v>
      </c>
      <c r="T51" t="s">
        <v>93</v>
      </c>
    </row>
    <row r="52" spans="1:20" x14ac:dyDescent="0.35">
      <c r="A52" t="s">
        <v>261</v>
      </c>
      <c r="B52" t="s">
        <v>262</v>
      </c>
      <c r="C52" t="s">
        <v>200</v>
      </c>
      <c r="D52" t="s">
        <v>253</v>
      </c>
      <c r="E52" t="s">
        <v>37</v>
      </c>
      <c r="F52">
        <v>20</v>
      </c>
      <c r="G52" t="s">
        <v>98</v>
      </c>
      <c r="H52" t="s">
        <v>99</v>
      </c>
      <c r="I52" t="s">
        <v>100</v>
      </c>
      <c r="J52" t="s">
        <v>78</v>
      </c>
      <c r="K52" t="s">
        <v>79</v>
      </c>
      <c r="L52" t="s">
        <v>101</v>
      </c>
      <c r="M52">
        <v>1</v>
      </c>
      <c r="N52">
        <v>3500</v>
      </c>
      <c r="O52">
        <v>5</v>
      </c>
      <c r="P52">
        <v>3325</v>
      </c>
      <c r="Q52">
        <v>603.02</v>
      </c>
      <c r="R52" t="s">
        <v>81</v>
      </c>
      <c r="S52" t="s">
        <v>51</v>
      </c>
      <c r="T52" t="s">
        <v>52</v>
      </c>
    </row>
    <row r="53" spans="1:20" x14ac:dyDescent="0.35">
      <c r="A53" t="s">
        <v>263</v>
      </c>
      <c r="B53" t="s">
        <v>264</v>
      </c>
      <c r="C53" t="s">
        <v>185</v>
      </c>
      <c r="D53" t="s">
        <v>219</v>
      </c>
      <c r="E53" t="s">
        <v>23</v>
      </c>
      <c r="F53">
        <v>36</v>
      </c>
      <c r="G53" t="s">
        <v>46</v>
      </c>
      <c r="H53" t="s">
        <v>25</v>
      </c>
      <c r="I53" t="s">
        <v>26</v>
      </c>
      <c r="J53" t="s">
        <v>27</v>
      </c>
      <c r="K53" t="s">
        <v>28</v>
      </c>
      <c r="L53" t="s">
        <v>140</v>
      </c>
      <c r="M53">
        <v>4</v>
      </c>
      <c r="N53">
        <v>65000</v>
      </c>
      <c r="O53">
        <v>5</v>
      </c>
      <c r="P53">
        <v>247000</v>
      </c>
      <c r="Q53">
        <v>58288.56</v>
      </c>
      <c r="R53" t="s">
        <v>81</v>
      </c>
      <c r="S53" t="s">
        <v>51</v>
      </c>
      <c r="T53" t="s">
        <v>93</v>
      </c>
    </row>
    <row r="54" spans="1:20" x14ac:dyDescent="0.35">
      <c r="A54" t="s">
        <v>265</v>
      </c>
      <c r="B54" t="s">
        <v>130</v>
      </c>
      <c r="C54" t="s">
        <v>266</v>
      </c>
      <c r="D54" t="s">
        <v>267</v>
      </c>
      <c r="E54" t="s">
        <v>23</v>
      </c>
      <c r="F54">
        <v>57</v>
      </c>
      <c r="G54" t="s">
        <v>38</v>
      </c>
      <c r="H54" t="s">
        <v>39</v>
      </c>
      <c r="I54" t="s">
        <v>26</v>
      </c>
      <c r="J54" t="s">
        <v>47</v>
      </c>
      <c r="K54" t="s">
        <v>48</v>
      </c>
      <c r="L54" t="s">
        <v>49</v>
      </c>
      <c r="M54">
        <v>3</v>
      </c>
      <c r="N54">
        <v>150</v>
      </c>
      <c r="O54">
        <v>5</v>
      </c>
      <c r="P54">
        <v>427.5</v>
      </c>
      <c r="Q54">
        <v>35.64</v>
      </c>
      <c r="R54" t="s">
        <v>50</v>
      </c>
      <c r="S54" t="s">
        <v>51</v>
      </c>
      <c r="T54" t="s">
        <v>32</v>
      </c>
    </row>
    <row r="55" spans="1:20" x14ac:dyDescent="0.35">
      <c r="A55" t="s">
        <v>268</v>
      </c>
      <c r="B55" t="s">
        <v>269</v>
      </c>
      <c r="C55" t="s">
        <v>270</v>
      </c>
      <c r="D55" t="s">
        <v>271</v>
      </c>
      <c r="E55" t="s">
        <v>37</v>
      </c>
      <c r="F55">
        <v>33</v>
      </c>
      <c r="G55" t="s">
        <v>86</v>
      </c>
      <c r="H55" t="s">
        <v>87</v>
      </c>
      <c r="I55" t="s">
        <v>88</v>
      </c>
      <c r="J55" t="s">
        <v>78</v>
      </c>
      <c r="K55" t="s">
        <v>79</v>
      </c>
      <c r="L55" t="s">
        <v>156</v>
      </c>
      <c r="M55">
        <v>5</v>
      </c>
      <c r="N55">
        <v>800</v>
      </c>
      <c r="O55">
        <v>20</v>
      </c>
      <c r="P55">
        <v>3200</v>
      </c>
      <c r="Q55">
        <v>583.73</v>
      </c>
      <c r="R55" t="s">
        <v>30</v>
      </c>
      <c r="S55" t="s">
        <v>51</v>
      </c>
      <c r="T55" t="s">
        <v>60</v>
      </c>
    </row>
    <row r="56" spans="1:20" x14ac:dyDescent="0.35">
      <c r="A56" t="s">
        <v>272</v>
      </c>
      <c r="B56" t="s">
        <v>273</v>
      </c>
      <c r="C56" t="s">
        <v>274</v>
      </c>
      <c r="D56" t="s">
        <v>275</v>
      </c>
      <c r="E56" t="s">
        <v>37</v>
      </c>
      <c r="F56">
        <v>51</v>
      </c>
      <c r="G56" t="s">
        <v>57</v>
      </c>
      <c r="H56" t="s">
        <v>57</v>
      </c>
      <c r="I56" t="s">
        <v>58</v>
      </c>
      <c r="J56" t="s">
        <v>27</v>
      </c>
      <c r="K56" t="s">
        <v>28</v>
      </c>
      <c r="L56" t="s">
        <v>40</v>
      </c>
      <c r="M56">
        <v>2</v>
      </c>
      <c r="N56">
        <v>2500</v>
      </c>
      <c r="O56">
        <v>5</v>
      </c>
      <c r="P56">
        <v>4750</v>
      </c>
      <c r="Q56">
        <v>1055.7</v>
      </c>
      <c r="R56" t="s">
        <v>30</v>
      </c>
      <c r="S56" t="s">
        <v>31</v>
      </c>
      <c r="T56" t="s">
        <v>60</v>
      </c>
    </row>
    <row r="57" spans="1:20" x14ac:dyDescent="0.35">
      <c r="A57" t="s">
        <v>276</v>
      </c>
      <c r="B57" t="s">
        <v>277</v>
      </c>
      <c r="C57" t="s">
        <v>266</v>
      </c>
      <c r="D57" t="s">
        <v>278</v>
      </c>
      <c r="E57" t="s">
        <v>37</v>
      </c>
      <c r="F57">
        <v>57</v>
      </c>
      <c r="G57" t="s">
        <v>24</v>
      </c>
      <c r="H57" t="s">
        <v>25</v>
      </c>
      <c r="I57" t="s">
        <v>26</v>
      </c>
      <c r="J57" t="s">
        <v>89</v>
      </c>
      <c r="K57" t="s">
        <v>90</v>
      </c>
      <c r="L57" t="s">
        <v>91</v>
      </c>
      <c r="M57">
        <v>1</v>
      </c>
      <c r="N57">
        <v>9000</v>
      </c>
      <c r="O57">
        <v>20</v>
      </c>
      <c r="P57">
        <v>7200</v>
      </c>
      <c r="Q57">
        <v>1827</v>
      </c>
      <c r="R57" t="s">
        <v>59</v>
      </c>
      <c r="S57" t="s">
        <v>92</v>
      </c>
      <c r="T57" t="s">
        <v>60</v>
      </c>
    </row>
    <row r="58" spans="1:20" x14ac:dyDescent="0.35">
      <c r="A58" t="s">
        <v>279</v>
      </c>
      <c r="B58" t="s">
        <v>280</v>
      </c>
      <c r="C58" t="s">
        <v>281</v>
      </c>
      <c r="D58" t="s">
        <v>45</v>
      </c>
      <c r="E58" t="s">
        <v>23</v>
      </c>
      <c r="F58">
        <v>34</v>
      </c>
      <c r="G58" t="s">
        <v>86</v>
      </c>
      <c r="H58" t="s">
        <v>87</v>
      </c>
      <c r="I58" t="s">
        <v>88</v>
      </c>
      <c r="J58" t="s">
        <v>89</v>
      </c>
      <c r="K58" t="s">
        <v>90</v>
      </c>
      <c r="L58" t="s">
        <v>91</v>
      </c>
      <c r="M58">
        <v>5</v>
      </c>
      <c r="N58">
        <v>9000</v>
      </c>
      <c r="O58">
        <v>0</v>
      </c>
      <c r="P58">
        <v>45000</v>
      </c>
      <c r="Q58">
        <v>6533.89</v>
      </c>
      <c r="R58" t="s">
        <v>30</v>
      </c>
      <c r="S58" t="s">
        <v>51</v>
      </c>
      <c r="T58" t="s">
        <v>65</v>
      </c>
    </row>
    <row r="59" spans="1:20" x14ac:dyDescent="0.35">
      <c r="A59" t="s">
        <v>282</v>
      </c>
      <c r="B59" t="s">
        <v>283</v>
      </c>
      <c r="C59" t="s">
        <v>284</v>
      </c>
      <c r="D59" t="s">
        <v>285</v>
      </c>
      <c r="E59" t="s">
        <v>23</v>
      </c>
      <c r="F59">
        <v>20</v>
      </c>
      <c r="G59" t="s">
        <v>98</v>
      </c>
      <c r="H59" t="s">
        <v>99</v>
      </c>
      <c r="I59" t="s">
        <v>100</v>
      </c>
      <c r="J59" t="s">
        <v>27</v>
      </c>
      <c r="K59" t="s">
        <v>28</v>
      </c>
      <c r="L59" t="s">
        <v>73</v>
      </c>
      <c r="M59">
        <v>5</v>
      </c>
      <c r="N59">
        <v>25000</v>
      </c>
      <c r="O59">
        <v>0</v>
      </c>
      <c r="P59">
        <v>125000</v>
      </c>
      <c r="Q59">
        <v>12401.1</v>
      </c>
      <c r="R59" t="s">
        <v>30</v>
      </c>
      <c r="S59" t="s">
        <v>51</v>
      </c>
      <c r="T59" t="s">
        <v>32</v>
      </c>
    </row>
    <row r="60" spans="1:20" x14ac:dyDescent="0.35">
      <c r="A60" t="s">
        <v>286</v>
      </c>
      <c r="B60" t="s">
        <v>287</v>
      </c>
      <c r="C60" t="s">
        <v>120</v>
      </c>
      <c r="D60" t="s">
        <v>288</v>
      </c>
      <c r="E60" t="s">
        <v>23</v>
      </c>
      <c r="F60">
        <v>57</v>
      </c>
      <c r="G60" t="s">
        <v>46</v>
      </c>
      <c r="H60" t="s">
        <v>25</v>
      </c>
      <c r="I60" t="s">
        <v>26</v>
      </c>
      <c r="J60" t="s">
        <v>47</v>
      </c>
      <c r="K60" t="s">
        <v>48</v>
      </c>
      <c r="L60" t="s">
        <v>49</v>
      </c>
      <c r="M60">
        <v>4</v>
      </c>
      <c r="N60">
        <v>150</v>
      </c>
      <c r="O60">
        <v>10</v>
      </c>
      <c r="P60">
        <v>540</v>
      </c>
      <c r="Q60">
        <v>90.97</v>
      </c>
      <c r="R60" t="s">
        <v>59</v>
      </c>
      <c r="S60" t="s">
        <v>92</v>
      </c>
      <c r="T60" t="s">
        <v>60</v>
      </c>
    </row>
    <row r="61" spans="1:20" x14ac:dyDescent="0.35">
      <c r="A61" t="s">
        <v>289</v>
      </c>
      <c r="B61" t="s">
        <v>290</v>
      </c>
      <c r="C61" t="s">
        <v>291</v>
      </c>
      <c r="D61" t="s">
        <v>292</v>
      </c>
      <c r="E61" t="s">
        <v>23</v>
      </c>
      <c r="F61">
        <v>28</v>
      </c>
      <c r="G61" t="s">
        <v>86</v>
      </c>
      <c r="H61" t="s">
        <v>87</v>
      </c>
      <c r="I61" t="s">
        <v>88</v>
      </c>
      <c r="J61" t="s">
        <v>78</v>
      </c>
      <c r="K61" t="s">
        <v>79</v>
      </c>
      <c r="L61" t="s">
        <v>156</v>
      </c>
      <c r="M61">
        <v>2</v>
      </c>
      <c r="N61">
        <v>800</v>
      </c>
      <c r="O61">
        <v>20</v>
      </c>
      <c r="P61">
        <v>1280</v>
      </c>
      <c r="Q61">
        <v>143.99</v>
      </c>
      <c r="R61" t="s">
        <v>30</v>
      </c>
      <c r="S61" t="s">
        <v>31</v>
      </c>
      <c r="T61" t="s">
        <v>117</v>
      </c>
    </row>
    <row r="62" spans="1:20" x14ac:dyDescent="0.35">
      <c r="A62" t="s">
        <v>293</v>
      </c>
      <c r="B62" t="s">
        <v>294</v>
      </c>
      <c r="C62" t="s">
        <v>112</v>
      </c>
      <c r="D62" t="s">
        <v>295</v>
      </c>
      <c r="E62" t="s">
        <v>23</v>
      </c>
      <c r="F62">
        <v>33</v>
      </c>
      <c r="G62" t="s">
        <v>46</v>
      </c>
      <c r="H62" t="s">
        <v>25</v>
      </c>
      <c r="I62" t="s">
        <v>26</v>
      </c>
      <c r="J62" t="s">
        <v>47</v>
      </c>
      <c r="K62" t="s">
        <v>48</v>
      </c>
      <c r="L62" t="s">
        <v>49</v>
      </c>
      <c r="M62">
        <v>5</v>
      </c>
      <c r="N62">
        <v>150</v>
      </c>
      <c r="O62">
        <v>0</v>
      </c>
      <c r="P62">
        <v>750</v>
      </c>
      <c r="Q62">
        <v>188.67</v>
      </c>
      <c r="R62" t="s">
        <v>50</v>
      </c>
      <c r="S62" t="s">
        <v>51</v>
      </c>
      <c r="T62" t="s">
        <v>52</v>
      </c>
    </row>
    <row r="63" spans="1:20" x14ac:dyDescent="0.35">
      <c r="A63" t="s">
        <v>296</v>
      </c>
      <c r="B63" t="s">
        <v>297</v>
      </c>
      <c r="C63" t="s">
        <v>63</v>
      </c>
      <c r="D63" t="s">
        <v>298</v>
      </c>
      <c r="E63" t="s">
        <v>37</v>
      </c>
      <c r="F63">
        <v>49</v>
      </c>
      <c r="G63" t="s">
        <v>114</v>
      </c>
      <c r="H63" t="s">
        <v>115</v>
      </c>
      <c r="I63" t="s">
        <v>88</v>
      </c>
      <c r="J63" t="s">
        <v>89</v>
      </c>
      <c r="K63" t="s">
        <v>90</v>
      </c>
      <c r="L63" t="s">
        <v>128</v>
      </c>
      <c r="M63">
        <v>4</v>
      </c>
      <c r="N63">
        <v>7000</v>
      </c>
      <c r="O63">
        <v>0</v>
      </c>
      <c r="P63">
        <v>28000</v>
      </c>
      <c r="Q63">
        <v>5806.62</v>
      </c>
      <c r="R63" t="s">
        <v>41</v>
      </c>
      <c r="S63" t="s">
        <v>92</v>
      </c>
      <c r="T63" t="s">
        <v>65</v>
      </c>
    </row>
    <row r="64" spans="1:20" x14ac:dyDescent="0.35">
      <c r="A64" t="s">
        <v>299</v>
      </c>
      <c r="B64" t="s">
        <v>300</v>
      </c>
      <c r="C64" t="s">
        <v>301</v>
      </c>
      <c r="D64" t="s">
        <v>302</v>
      </c>
      <c r="E64" t="s">
        <v>23</v>
      </c>
      <c r="F64">
        <v>37</v>
      </c>
      <c r="G64" t="s">
        <v>38</v>
      </c>
      <c r="H64" t="s">
        <v>39</v>
      </c>
      <c r="I64" t="s">
        <v>26</v>
      </c>
      <c r="J64" t="s">
        <v>27</v>
      </c>
      <c r="K64" t="s">
        <v>28</v>
      </c>
      <c r="L64" t="s">
        <v>40</v>
      </c>
      <c r="M64">
        <v>2</v>
      </c>
      <c r="N64">
        <v>2500</v>
      </c>
      <c r="O64">
        <v>5</v>
      </c>
      <c r="P64">
        <v>4750</v>
      </c>
      <c r="Q64">
        <v>509.75</v>
      </c>
      <c r="R64" t="s">
        <v>30</v>
      </c>
      <c r="S64" t="s">
        <v>92</v>
      </c>
      <c r="T64" t="s">
        <v>93</v>
      </c>
    </row>
    <row r="65" spans="1:20" x14ac:dyDescent="0.35">
      <c r="A65" t="s">
        <v>303</v>
      </c>
      <c r="B65" t="s">
        <v>304</v>
      </c>
      <c r="C65" t="s">
        <v>104</v>
      </c>
      <c r="D65" t="s">
        <v>305</v>
      </c>
      <c r="E65" t="s">
        <v>23</v>
      </c>
      <c r="F65">
        <v>45</v>
      </c>
      <c r="G65" t="s">
        <v>46</v>
      </c>
      <c r="H65" t="s">
        <v>25</v>
      </c>
      <c r="I65" t="s">
        <v>26</v>
      </c>
      <c r="J65" t="s">
        <v>47</v>
      </c>
      <c r="K65" t="s">
        <v>48</v>
      </c>
      <c r="L65" t="s">
        <v>215</v>
      </c>
      <c r="M65">
        <v>1</v>
      </c>
      <c r="N65">
        <v>450</v>
      </c>
      <c r="O65">
        <v>0</v>
      </c>
      <c r="P65">
        <v>450</v>
      </c>
      <c r="Q65">
        <v>55.45</v>
      </c>
      <c r="R65" t="s">
        <v>81</v>
      </c>
      <c r="S65" t="s">
        <v>92</v>
      </c>
      <c r="T65" t="s">
        <v>52</v>
      </c>
    </row>
    <row r="66" spans="1:20" x14ac:dyDescent="0.35">
      <c r="A66" t="s">
        <v>306</v>
      </c>
      <c r="B66" t="s">
        <v>307</v>
      </c>
      <c r="C66" t="s">
        <v>308</v>
      </c>
      <c r="D66" t="s">
        <v>309</v>
      </c>
      <c r="E66" t="s">
        <v>37</v>
      </c>
      <c r="F66">
        <v>54</v>
      </c>
      <c r="G66" t="s">
        <v>57</v>
      </c>
      <c r="H66" t="s">
        <v>57</v>
      </c>
      <c r="I66" t="s">
        <v>58</v>
      </c>
      <c r="J66" t="s">
        <v>89</v>
      </c>
      <c r="K66" t="s">
        <v>90</v>
      </c>
      <c r="L66" t="s">
        <v>242</v>
      </c>
      <c r="M66">
        <v>3</v>
      </c>
      <c r="N66">
        <v>6000</v>
      </c>
      <c r="O66">
        <v>10</v>
      </c>
      <c r="P66">
        <v>16200</v>
      </c>
      <c r="Q66">
        <v>2060.06</v>
      </c>
      <c r="R66" t="s">
        <v>50</v>
      </c>
      <c r="S66" t="s">
        <v>31</v>
      </c>
      <c r="T66" t="s">
        <v>60</v>
      </c>
    </row>
    <row r="67" spans="1:20" x14ac:dyDescent="0.35">
      <c r="A67" t="s">
        <v>310</v>
      </c>
      <c r="B67" t="s">
        <v>311</v>
      </c>
      <c r="C67" t="s">
        <v>312</v>
      </c>
      <c r="D67" t="s">
        <v>313</v>
      </c>
      <c r="E67" t="s">
        <v>37</v>
      </c>
      <c r="F67">
        <v>26</v>
      </c>
      <c r="G67" t="s">
        <v>57</v>
      </c>
      <c r="H67" t="s">
        <v>57</v>
      </c>
      <c r="I67" t="s">
        <v>58</v>
      </c>
      <c r="J67" t="s">
        <v>47</v>
      </c>
      <c r="K67" t="s">
        <v>48</v>
      </c>
      <c r="L67" t="s">
        <v>215</v>
      </c>
      <c r="M67">
        <v>1</v>
      </c>
      <c r="N67">
        <v>450</v>
      </c>
      <c r="O67">
        <v>5</v>
      </c>
      <c r="P67">
        <v>427.5</v>
      </c>
      <c r="Q67">
        <v>66.59</v>
      </c>
      <c r="R67" t="s">
        <v>59</v>
      </c>
      <c r="S67" t="s">
        <v>51</v>
      </c>
      <c r="T67" t="s">
        <v>52</v>
      </c>
    </row>
    <row r="68" spans="1:20" x14ac:dyDescent="0.35">
      <c r="A68" t="s">
        <v>314</v>
      </c>
      <c r="B68" t="s">
        <v>315</v>
      </c>
      <c r="C68" t="s">
        <v>316</v>
      </c>
      <c r="D68" t="s">
        <v>317</v>
      </c>
      <c r="E68" t="s">
        <v>37</v>
      </c>
      <c r="F68">
        <v>34</v>
      </c>
      <c r="G68" t="s">
        <v>114</v>
      </c>
      <c r="H68" t="s">
        <v>115</v>
      </c>
      <c r="I68" t="s">
        <v>88</v>
      </c>
      <c r="J68" t="s">
        <v>47</v>
      </c>
      <c r="K68" t="s">
        <v>48</v>
      </c>
      <c r="L68" t="s">
        <v>215</v>
      </c>
      <c r="M68">
        <v>2</v>
      </c>
      <c r="N68">
        <v>450</v>
      </c>
      <c r="O68">
        <v>20</v>
      </c>
      <c r="P68">
        <v>720</v>
      </c>
      <c r="Q68">
        <v>75.52</v>
      </c>
      <c r="R68" t="s">
        <v>50</v>
      </c>
      <c r="S68" t="s">
        <v>51</v>
      </c>
      <c r="T68" t="s">
        <v>60</v>
      </c>
    </row>
    <row r="69" spans="1:20" x14ac:dyDescent="0.35">
      <c r="A69" t="s">
        <v>318</v>
      </c>
      <c r="B69" t="s">
        <v>319</v>
      </c>
      <c r="C69" t="s">
        <v>320</v>
      </c>
      <c r="D69" t="s">
        <v>321</v>
      </c>
      <c r="E69" t="s">
        <v>23</v>
      </c>
      <c r="F69">
        <v>22</v>
      </c>
      <c r="G69" t="s">
        <v>86</v>
      </c>
      <c r="H69" t="s">
        <v>87</v>
      </c>
      <c r="I69" t="s">
        <v>88</v>
      </c>
      <c r="J69" t="s">
        <v>27</v>
      </c>
      <c r="K69" t="s">
        <v>28</v>
      </c>
      <c r="L69" t="s">
        <v>73</v>
      </c>
      <c r="M69">
        <v>2</v>
      </c>
      <c r="N69">
        <v>25000</v>
      </c>
      <c r="O69">
        <v>5</v>
      </c>
      <c r="P69">
        <v>47500</v>
      </c>
      <c r="Q69">
        <v>12712.48</v>
      </c>
      <c r="R69" t="s">
        <v>30</v>
      </c>
      <c r="S69" t="s">
        <v>51</v>
      </c>
      <c r="T69" t="s">
        <v>65</v>
      </c>
    </row>
    <row r="70" spans="1:20" x14ac:dyDescent="0.35">
      <c r="A70" t="s">
        <v>322</v>
      </c>
      <c r="B70" t="s">
        <v>323</v>
      </c>
      <c r="C70" t="s">
        <v>44</v>
      </c>
      <c r="D70" t="s">
        <v>324</v>
      </c>
      <c r="E70" t="s">
        <v>37</v>
      </c>
      <c r="F70">
        <v>37</v>
      </c>
      <c r="G70" t="s">
        <v>98</v>
      </c>
      <c r="H70" t="s">
        <v>99</v>
      </c>
      <c r="I70" t="s">
        <v>100</v>
      </c>
      <c r="J70" t="s">
        <v>89</v>
      </c>
      <c r="K70" t="s">
        <v>90</v>
      </c>
      <c r="L70" t="s">
        <v>91</v>
      </c>
      <c r="M70">
        <v>5</v>
      </c>
      <c r="N70">
        <v>9000</v>
      </c>
      <c r="O70">
        <v>0</v>
      </c>
      <c r="P70">
        <v>45000</v>
      </c>
      <c r="Q70">
        <v>3982.19</v>
      </c>
      <c r="R70" t="s">
        <v>59</v>
      </c>
      <c r="S70" t="s">
        <v>51</v>
      </c>
      <c r="T70" t="s">
        <v>93</v>
      </c>
    </row>
    <row r="71" spans="1:20" x14ac:dyDescent="0.35">
      <c r="A71" t="s">
        <v>325</v>
      </c>
      <c r="B71" t="s">
        <v>326</v>
      </c>
      <c r="C71" t="s">
        <v>327</v>
      </c>
      <c r="D71" t="s">
        <v>328</v>
      </c>
      <c r="E71" t="s">
        <v>23</v>
      </c>
      <c r="F71">
        <v>44</v>
      </c>
      <c r="G71" t="s">
        <v>24</v>
      </c>
      <c r="H71" t="s">
        <v>25</v>
      </c>
      <c r="I71" t="s">
        <v>26</v>
      </c>
      <c r="J71" t="s">
        <v>78</v>
      </c>
      <c r="K71" t="s">
        <v>79</v>
      </c>
      <c r="L71" t="s">
        <v>80</v>
      </c>
      <c r="M71">
        <v>3</v>
      </c>
      <c r="N71">
        <v>1800</v>
      </c>
      <c r="O71">
        <v>15</v>
      </c>
      <c r="P71">
        <v>4590</v>
      </c>
      <c r="Q71">
        <v>452.23</v>
      </c>
      <c r="R71" t="s">
        <v>41</v>
      </c>
      <c r="S71" t="s">
        <v>51</v>
      </c>
      <c r="T71" t="s">
        <v>60</v>
      </c>
    </row>
    <row r="72" spans="1:20" x14ac:dyDescent="0.35">
      <c r="A72" t="s">
        <v>329</v>
      </c>
      <c r="B72" t="s">
        <v>330</v>
      </c>
      <c r="C72" t="s">
        <v>331</v>
      </c>
      <c r="D72" t="s">
        <v>332</v>
      </c>
      <c r="E72" t="s">
        <v>37</v>
      </c>
      <c r="F72">
        <v>48</v>
      </c>
      <c r="G72" t="s">
        <v>46</v>
      </c>
      <c r="H72" t="s">
        <v>25</v>
      </c>
      <c r="I72" t="s">
        <v>26</v>
      </c>
      <c r="J72" t="s">
        <v>27</v>
      </c>
      <c r="K72" t="s">
        <v>28</v>
      </c>
      <c r="L72" t="s">
        <v>40</v>
      </c>
      <c r="M72">
        <v>1</v>
      </c>
      <c r="N72">
        <v>2500</v>
      </c>
      <c r="O72">
        <v>15</v>
      </c>
      <c r="P72">
        <v>2125</v>
      </c>
      <c r="Q72">
        <v>206.48</v>
      </c>
      <c r="R72" t="s">
        <v>30</v>
      </c>
      <c r="S72" t="s">
        <v>51</v>
      </c>
      <c r="T72" t="s">
        <v>93</v>
      </c>
    </row>
    <row r="73" spans="1:20" x14ac:dyDescent="0.35">
      <c r="A73" t="s">
        <v>333</v>
      </c>
      <c r="B73" t="s">
        <v>334</v>
      </c>
      <c r="C73" t="s">
        <v>291</v>
      </c>
      <c r="D73" t="s">
        <v>321</v>
      </c>
      <c r="E73" t="s">
        <v>23</v>
      </c>
      <c r="F73">
        <v>56</v>
      </c>
      <c r="G73" t="s">
        <v>24</v>
      </c>
      <c r="H73" t="s">
        <v>25</v>
      </c>
      <c r="I73" t="s">
        <v>26</v>
      </c>
      <c r="J73" t="s">
        <v>78</v>
      </c>
      <c r="K73" t="s">
        <v>79</v>
      </c>
      <c r="L73" t="s">
        <v>80</v>
      </c>
      <c r="M73">
        <v>5</v>
      </c>
      <c r="N73">
        <v>1800</v>
      </c>
      <c r="O73">
        <v>0</v>
      </c>
      <c r="P73">
        <v>9000</v>
      </c>
      <c r="Q73">
        <v>1077.83</v>
      </c>
      <c r="R73" t="s">
        <v>30</v>
      </c>
      <c r="S73" t="s">
        <v>51</v>
      </c>
      <c r="T73" t="s">
        <v>52</v>
      </c>
    </row>
    <row r="74" spans="1:20" x14ac:dyDescent="0.35">
      <c r="A74" t="s">
        <v>335</v>
      </c>
      <c r="B74" t="s">
        <v>336</v>
      </c>
      <c r="C74" t="s">
        <v>337</v>
      </c>
      <c r="D74" t="s">
        <v>338</v>
      </c>
      <c r="E74" t="s">
        <v>23</v>
      </c>
      <c r="F74">
        <v>51</v>
      </c>
      <c r="G74" t="s">
        <v>98</v>
      </c>
      <c r="H74" t="s">
        <v>99</v>
      </c>
      <c r="I74" t="s">
        <v>100</v>
      </c>
      <c r="J74" t="s">
        <v>47</v>
      </c>
      <c r="K74" t="s">
        <v>48</v>
      </c>
      <c r="L74" t="s">
        <v>49</v>
      </c>
      <c r="M74">
        <v>1</v>
      </c>
      <c r="N74">
        <v>150</v>
      </c>
      <c r="O74">
        <v>15</v>
      </c>
      <c r="P74">
        <v>127.5</v>
      </c>
      <c r="Q74">
        <v>31.12</v>
      </c>
      <c r="R74" t="s">
        <v>41</v>
      </c>
      <c r="S74" t="s">
        <v>92</v>
      </c>
      <c r="T74" t="s">
        <v>65</v>
      </c>
    </row>
    <row r="75" spans="1:20" x14ac:dyDescent="0.35">
      <c r="A75" t="s">
        <v>339</v>
      </c>
      <c r="B75" t="s">
        <v>340</v>
      </c>
      <c r="C75" t="s">
        <v>270</v>
      </c>
      <c r="D75" t="s">
        <v>219</v>
      </c>
      <c r="E75" t="s">
        <v>37</v>
      </c>
      <c r="F75">
        <v>26</v>
      </c>
      <c r="G75" t="s">
        <v>38</v>
      </c>
      <c r="H75" t="s">
        <v>39</v>
      </c>
      <c r="I75" t="s">
        <v>26</v>
      </c>
      <c r="J75" t="s">
        <v>78</v>
      </c>
      <c r="K75" t="s">
        <v>79</v>
      </c>
      <c r="L75" t="s">
        <v>156</v>
      </c>
      <c r="M75">
        <v>2</v>
      </c>
      <c r="N75">
        <v>800</v>
      </c>
      <c r="O75">
        <v>5</v>
      </c>
      <c r="P75">
        <v>1520</v>
      </c>
      <c r="Q75">
        <v>251.82</v>
      </c>
      <c r="R75" t="s">
        <v>59</v>
      </c>
      <c r="S75" t="s">
        <v>51</v>
      </c>
      <c r="T75" t="s">
        <v>117</v>
      </c>
    </row>
    <row r="76" spans="1:20" x14ac:dyDescent="0.35">
      <c r="A76" t="s">
        <v>341</v>
      </c>
      <c r="B76" t="s">
        <v>342</v>
      </c>
      <c r="C76" t="s">
        <v>343</v>
      </c>
      <c r="D76" t="s">
        <v>344</v>
      </c>
      <c r="E76" t="s">
        <v>37</v>
      </c>
      <c r="F76">
        <v>58</v>
      </c>
      <c r="G76" t="s">
        <v>46</v>
      </c>
      <c r="H76" t="s">
        <v>25</v>
      </c>
      <c r="I76" t="s">
        <v>26</v>
      </c>
      <c r="J76" t="s">
        <v>78</v>
      </c>
      <c r="K76" t="s">
        <v>79</v>
      </c>
      <c r="L76" t="s">
        <v>156</v>
      </c>
      <c r="M76">
        <v>4</v>
      </c>
      <c r="N76">
        <v>800</v>
      </c>
      <c r="O76">
        <v>20</v>
      </c>
      <c r="P76">
        <v>2560</v>
      </c>
      <c r="Q76">
        <v>416.8</v>
      </c>
      <c r="R76" t="s">
        <v>50</v>
      </c>
      <c r="S76" t="s">
        <v>51</v>
      </c>
      <c r="T76" t="s">
        <v>32</v>
      </c>
    </row>
    <row r="77" spans="1:20" x14ac:dyDescent="0.35">
      <c r="A77" t="s">
        <v>345</v>
      </c>
      <c r="B77" t="s">
        <v>346</v>
      </c>
      <c r="C77" t="s">
        <v>347</v>
      </c>
      <c r="D77" t="s">
        <v>348</v>
      </c>
      <c r="E77" t="s">
        <v>37</v>
      </c>
      <c r="F77">
        <v>50</v>
      </c>
      <c r="G77" t="s">
        <v>86</v>
      </c>
      <c r="H77" t="s">
        <v>87</v>
      </c>
      <c r="I77" t="s">
        <v>88</v>
      </c>
      <c r="J77" t="s">
        <v>78</v>
      </c>
      <c r="K77" t="s">
        <v>79</v>
      </c>
      <c r="L77" t="s">
        <v>80</v>
      </c>
      <c r="M77">
        <v>1</v>
      </c>
      <c r="N77">
        <v>1800</v>
      </c>
      <c r="O77">
        <v>15</v>
      </c>
      <c r="P77">
        <v>1530</v>
      </c>
      <c r="Q77">
        <v>377.71</v>
      </c>
      <c r="R77" t="s">
        <v>50</v>
      </c>
      <c r="S77" t="s">
        <v>51</v>
      </c>
      <c r="T77" t="s">
        <v>52</v>
      </c>
    </row>
    <row r="78" spans="1:20" x14ac:dyDescent="0.35">
      <c r="A78" t="s">
        <v>349</v>
      </c>
      <c r="B78" t="s">
        <v>350</v>
      </c>
      <c r="C78" t="s">
        <v>351</v>
      </c>
      <c r="D78" t="s">
        <v>352</v>
      </c>
      <c r="E78" t="s">
        <v>37</v>
      </c>
      <c r="F78">
        <v>23</v>
      </c>
      <c r="G78" t="s">
        <v>114</v>
      </c>
      <c r="H78" t="s">
        <v>115</v>
      </c>
      <c r="I78" t="s">
        <v>88</v>
      </c>
      <c r="J78" t="s">
        <v>27</v>
      </c>
      <c r="K78" t="s">
        <v>28</v>
      </c>
      <c r="L78" t="s">
        <v>29</v>
      </c>
      <c r="M78">
        <v>4</v>
      </c>
      <c r="N78">
        <v>12000</v>
      </c>
      <c r="O78">
        <v>10</v>
      </c>
      <c r="P78">
        <v>43200</v>
      </c>
      <c r="Q78">
        <v>6686.34</v>
      </c>
      <c r="R78" t="s">
        <v>30</v>
      </c>
      <c r="S78" t="s">
        <v>51</v>
      </c>
      <c r="T78" t="s">
        <v>93</v>
      </c>
    </row>
    <row r="79" spans="1:20" x14ac:dyDescent="0.35">
      <c r="A79" t="s">
        <v>353</v>
      </c>
      <c r="B79" t="s">
        <v>145</v>
      </c>
      <c r="C79" t="s">
        <v>327</v>
      </c>
      <c r="D79" t="s">
        <v>354</v>
      </c>
      <c r="E79" t="s">
        <v>23</v>
      </c>
      <c r="F79">
        <v>56</v>
      </c>
      <c r="G79" t="s">
        <v>86</v>
      </c>
      <c r="H79" t="s">
        <v>87</v>
      </c>
      <c r="I79" t="s">
        <v>88</v>
      </c>
      <c r="J79" t="s">
        <v>78</v>
      </c>
      <c r="K79" t="s">
        <v>79</v>
      </c>
      <c r="L79" t="s">
        <v>101</v>
      </c>
      <c r="M79">
        <v>4</v>
      </c>
      <c r="N79">
        <v>3500</v>
      </c>
      <c r="O79">
        <v>0</v>
      </c>
      <c r="P79">
        <v>14000</v>
      </c>
      <c r="Q79">
        <v>3173.02</v>
      </c>
      <c r="R79" t="s">
        <v>30</v>
      </c>
      <c r="S79" t="s">
        <v>51</v>
      </c>
      <c r="T79" t="s">
        <v>32</v>
      </c>
    </row>
    <row r="80" spans="1:20" x14ac:dyDescent="0.35">
      <c r="A80" t="s">
        <v>355</v>
      </c>
      <c r="B80" t="s">
        <v>356</v>
      </c>
      <c r="C80" t="s">
        <v>357</v>
      </c>
      <c r="D80" t="s">
        <v>358</v>
      </c>
      <c r="E80" t="s">
        <v>23</v>
      </c>
      <c r="F80">
        <v>21</v>
      </c>
      <c r="G80" t="s">
        <v>98</v>
      </c>
      <c r="H80" t="s">
        <v>99</v>
      </c>
      <c r="I80" t="s">
        <v>100</v>
      </c>
      <c r="J80" t="s">
        <v>89</v>
      </c>
      <c r="K80" t="s">
        <v>90</v>
      </c>
      <c r="L80" t="s">
        <v>128</v>
      </c>
      <c r="M80">
        <v>2</v>
      </c>
      <c r="N80">
        <v>7000</v>
      </c>
      <c r="O80">
        <v>5</v>
      </c>
      <c r="P80">
        <v>13300</v>
      </c>
      <c r="Q80">
        <v>2803.5</v>
      </c>
      <c r="R80" t="s">
        <v>81</v>
      </c>
      <c r="S80" t="s">
        <v>51</v>
      </c>
      <c r="T80" t="s">
        <v>93</v>
      </c>
    </row>
    <row r="81" spans="1:20" x14ac:dyDescent="0.35">
      <c r="A81" t="s">
        <v>359</v>
      </c>
      <c r="B81" t="s">
        <v>360</v>
      </c>
      <c r="C81" t="s">
        <v>361</v>
      </c>
      <c r="D81" t="s">
        <v>362</v>
      </c>
      <c r="E81" t="s">
        <v>37</v>
      </c>
      <c r="F81">
        <v>38</v>
      </c>
      <c r="G81" t="s">
        <v>98</v>
      </c>
      <c r="H81" t="s">
        <v>99</v>
      </c>
      <c r="I81" t="s">
        <v>100</v>
      </c>
      <c r="J81" t="s">
        <v>89</v>
      </c>
      <c r="K81" t="s">
        <v>90</v>
      </c>
      <c r="L81" t="s">
        <v>242</v>
      </c>
      <c r="M81">
        <v>3</v>
      </c>
      <c r="N81">
        <v>6000</v>
      </c>
      <c r="O81">
        <v>20</v>
      </c>
      <c r="P81">
        <v>14400</v>
      </c>
      <c r="Q81">
        <v>3952.89</v>
      </c>
      <c r="R81" t="s">
        <v>81</v>
      </c>
      <c r="S81" t="s">
        <v>51</v>
      </c>
      <c r="T81" t="s">
        <v>117</v>
      </c>
    </row>
    <row r="82" spans="1:20" x14ac:dyDescent="0.35">
      <c r="A82" t="s">
        <v>363</v>
      </c>
      <c r="B82" t="s">
        <v>364</v>
      </c>
      <c r="C82" t="s">
        <v>347</v>
      </c>
      <c r="D82" t="s">
        <v>365</v>
      </c>
      <c r="E82" t="s">
        <v>37</v>
      </c>
      <c r="F82">
        <v>47</v>
      </c>
      <c r="G82" t="s">
        <v>98</v>
      </c>
      <c r="H82" t="s">
        <v>99</v>
      </c>
      <c r="I82" t="s">
        <v>100</v>
      </c>
      <c r="J82" t="s">
        <v>27</v>
      </c>
      <c r="K82" t="s">
        <v>28</v>
      </c>
      <c r="L82" t="s">
        <v>29</v>
      </c>
      <c r="M82">
        <v>2</v>
      </c>
      <c r="N82">
        <v>12000</v>
      </c>
      <c r="O82">
        <v>10</v>
      </c>
      <c r="P82">
        <v>21600</v>
      </c>
      <c r="Q82">
        <v>5418.62</v>
      </c>
      <c r="R82" t="s">
        <v>30</v>
      </c>
      <c r="S82" t="s">
        <v>51</v>
      </c>
      <c r="T82" t="s">
        <v>65</v>
      </c>
    </row>
    <row r="83" spans="1:20" x14ac:dyDescent="0.35">
      <c r="A83" t="s">
        <v>366</v>
      </c>
      <c r="B83" t="s">
        <v>367</v>
      </c>
      <c r="C83" t="s">
        <v>368</v>
      </c>
      <c r="D83" t="s">
        <v>288</v>
      </c>
      <c r="E83" t="s">
        <v>37</v>
      </c>
      <c r="F83">
        <v>51</v>
      </c>
      <c r="G83" t="s">
        <v>46</v>
      </c>
      <c r="H83" t="s">
        <v>25</v>
      </c>
      <c r="I83" t="s">
        <v>26</v>
      </c>
      <c r="J83" t="s">
        <v>78</v>
      </c>
      <c r="K83" t="s">
        <v>79</v>
      </c>
      <c r="L83" t="s">
        <v>80</v>
      </c>
      <c r="M83">
        <v>5</v>
      </c>
      <c r="N83">
        <v>1800</v>
      </c>
      <c r="O83">
        <v>15</v>
      </c>
      <c r="P83">
        <v>7650</v>
      </c>
      <c r="Q83">
        <v>2059.8000000000002</v>
      </c>
      <c r="R83" t="s">
        <v>59</v>
      </c>
      <c r="S83" t="s">
        <v>31</v>
      </c>
      <c r="T83" t="s">
        <v>93</v>
      </c>
    </row>
    <row r="84" spans="1:20" x14ac:dyDescent="0.35">
      <c r="A84" t="s">
        <v>369</v>
      </c>
      <c r="B84" t="s">
        <v>370</v>
      </c>
      <c r="C84" t="s">
        <v>368</v>
      </c>
      <c r="D84" t="s">
        <v>267</v>
      </c>
      <c r="E84" t="s">
        <v>37</v>
      </c>
      <c r="F84">
        <v>48</v>
      </c>
      <c r="G84" t="s">
        <v>86</v>
      </c>
      <c r="H84" t="s">
        <v>87</v>
      </c>
      <c r="I84" t="s">
        <v>88</v>
      </c>
      <c r="J84" t="s">
        <v>27</v>
      </c>
      <c r="K84" t="s">
        <v>28</v>
      </c>
      <c r="L84" t="s">
        <v>73</v>
      </c>
      <c r="M84">
        <v>3</v>
      </c>
      <c r="N84">
        <v>25000</v>
      </c>
      <c r="O84">
        <v>15</v>
      </c>
      <c r="P84">
        <v>63750</v>
      </c>
      <c r="Q84">
        <v>13973.34</v>
      </c>
      <c r="R84" t="s">
        <v>81</v>
      </c>
      <c r="S84" t="s">
        <v>31</v>
      </c>
      <c r="T84" t="s">
        <v>93</v>
      </c>
    </row>
    <row r="85" spans="1:20" x14ac:dyDescent="0.35">
      <c r="A85" t="s">
        <v>371</v>
      </c>
      <c r="B85" t="s">
        <v>372</v>
      </c>
      <c r="C85" t="s">
        <v>373</v>
      </c>
      <c r="D85" t="s">
        <v>374</v>
      </c>
      <c r="E85" t="s">
        <v>37</v>
      </c>
      <c r="F85">
        <v>54</v>
      </c>
      <c r="G85" t="s">
        <v>86</v>
      </c>
      <c r="H85" t="s">
        <v>87</v>
      </c>
      <c r="I85" t="s">
        <v>88</v>
      </c>
      <c r="J85" t="s">
        <v>89</v>
      </c>
      <c r="K85" t="s">
        <v>90</v>
      </c>
      <c r="L85" t="s">
        <v>242</v>
      </c>
      <c r="M85">
        <v>3</v>
      </c>
      <c r="N85">
        <v>6000</v>
      </c>
      <c r="O85">
        <v>20</v>
      </c>
      <c r="P85">
        <v>14400</v>
      </c>
      <c r="Q85">
        <v>1489.72</v>
      </c>
      <c r="R85" t="s">
        <v>59</v>
      </c>
      <c r="S85" t="s">
        <v>51</v>
      </c>
      <c r="T85" t="s">
        <v>60</v>
      </c>
    </row>
    <row r="86" spans="1:20" x14ac:dyDescent="0.35">
      <c r="A86" t="s">
        <v>375</v>
      </c>
      <c r="B86" t="s">
        <v>364</v>
      </c>
      <c r="C86" t="s">
        <v>376</v>
      </c>
      <c r="D86" t="s">
        <v>193</v>
      </c>
      <c r="E86" t="s">
        <v>37</v>
      </c>
      <c r="F86">
        <v>42</v>
      </c>
      <c r="G86" t="s">
        <v>126</v>
      </c>
      <c r="H86" t="s">
        <v>127</v>
      </c>
      <c r="I86" t="s">
        <v>88</v>
      </c>
      <c r="J86" t="s">
        <v>78</v>
      </c>
      <c r="K86" t="s">
        <v>79</v>
      </c>
      <c r="L86" t="s">
        <v>156</v>
      </c>
      <c r="M86">
        <v>3</v>
      </c>
      <c r="N86">
        <v>800</v>
      </c>
      <c r="O86">
        <v>10</v>
      </c>
      <c r="P86">
        <v>2160</v>
      </c>
      <c r="Q86">
        <v>250.27</v>
      </c>
      <c r="R86" t="s">
        <v>59</v>
      </c>
      <c r="S86" t="s">
        <v>31</v>
      </c>
      <c r="T86" t="s">
        <v>32</v>
      </c>
    </row>
    <row r="87" spans="1:20" x14ac:dyDescent="0.35">
      <c r="A87" t="s">
        <v>377</v>
      </c>
      <c r="B87" t="s">
        <v>378</v>
      </c>
      <c r="C87" t="s">
        <v>112</v>
      </c>
      <c r="D87" t="s">
        <v>379</v>
      </c>
      <c r="E87" t="s">
        <v>37</v>
      </c>
      <c r="F87">
        <v>48</v>
      </c>
      <c r="G87" t="s">
        <v>38</v>
      </c>
      <c r="H87" t="s">
        <v>39</v>
      </c>
      <c r="I87" t="s">
        <v>26</v>
      </c>
      <c r="J87" t="s">
        <v>27</v>
      </c>
      <c r="K87" t="s">
        <v>28</v>
      </c>
      <c r="L87" t="s">
        <v>40</v>
      </c>
      <c r="M87">
        <v>1</v>
      </c>
      <c r="N87">
        <v>2500</v>
      </c>
      <c r="O87">
        <v>10</v>
      </c>
      <c r="P87">
        <v>2250</v>
      </c>
      <c r="Q87">
        <v>502.14</v>
      </c>
      <c r="R87" t="s">
        <v>41</v>
      </c>
      <c r="S87" t="s">
        <v>51</v>
      </c>
      <c r="T87" t="s">
        <v>117</v>
      </c>
    </row>
    <row r="88" spans="1:20" x14ac:dyDescent="0.35">
      <c r="A88" t="s">
        <v>380</v>
      </c>
      <c r="B88" t="s">
        <v>381</v>
      </c>
      <c r="C88" t="s">
        <v>171</v>
      </c>
      <c r="D88" t="s">
        <v>382</v>
      </c>
      <c r="E88" t="s">
        <v>23</v>
      </c>
      <c r="F88">
        <v>36</v>
      </c>
      <c r="G88" t="s">
        <v>57</v>
      </c>
      <c r="H88" t="s">
        <v>57</v>
      </c>
      <c r="I88" t="s">
        <v>58</v>
      </c>
      <c r="J88" t="s">
        <v>89</v>
      </c>
      <c r="K88" t="s">
        <v>90</v>
      </c>
      <c r="L88" t="s">
        <v>242</v>
      </c>
      <c r="M88">
        <v>1</v>
      </c>
      <c r="N88">
        <v>6000</v>
      </c>
      <c r="O88">
        <v>15</v>
      </c>
      <c r="P88">
        <v>5100</v>
      </c>
      <c r="Q88">
        <v>886.34</v>
      </c>
      <c r="R88" t="s">
        <v>41</v>
      </c>
      <c r="S88" t="s">
        <v>31</v>
      </c>
      <c r="T88" t="s">
        <v>117</v>
      </c>
    </row>
    <row r="89" spans="1:20" x14ac:dyDescent="0.35">
      <c r="A89" t="s">
        <v>383</v>
      </c>
      <c r="B89" t="s">
        <v>384</v>
      </c>
      <c r="C89" t="s">
        <v>385</v>
      </c>
      <c r="D89" t="s">
        <v>302</v>
      </c>
      <c r="E89" t="s">
        <v>23</v>
      </c>
      <c r="F89">
        <v>56</v>
      </c>
      <c r="G89" t="s">
        <v>98</v>
      </c>
      <c r="H89" t="s">
        <v>99</v>
      </c>
      <c r="I89" t="s">
        <v>100</v>
      </c>
      <c r="J89" t="s">
        <v>47</v>
      </c>
      <c r="K89" t="s">
        <v>48</v>
      </c>
      <c r="L89" t="s">
        <v>49</v>
      </c>
      <c r="M89">
        <v>2</v>
      </c>
      <c r="N89">
        <v>150</v>
      </c>
      <c r="O89">
        <v>0</v>
      </c>
      <c r="P89">
        <v>300</v>
      </c>
      <c r="Q89">
        <v>58.71</v>
      </c>
      <c r="R89" t="s">
        <v>50</v>
      </c>
      <c r="S89" t="s">
        <v>92</v>
      </c>
      <c r="T89" t="s">
        <v>65</v>
      </c>
    </row>
    <row r="90" spans="1:20" x14ac:dyDescent="0.35">
      <c r="A90" t="s">
        <v>386</v>
      </c>
      <c r="B90" t="s">
        <v>387</v>
      </c>
      <c r="C90" t="s">
        <v>388</v>
      </c>
      <c r="D90" t="s">
        <v>389</v>
      </c>
      <c r="E90" t="s">
        <v>37</v>
      </c>
      <c r="F90">
        <v>38</v>
      </c>
      <c r="G90" t="s">
        <v>24</v>
      </c>
      <c r="H90" t="s">
        <v>25</v>
      </c>
      <c r="I90" t="s">
        <v>26</v>
      </c>
      <c r="J90" t="s">
        <v>78</v>
      </c>
      <c r="K90" t="s">
        <v>79</v>
      </c>
      <c r="L90" t="s">
        <v>101</v>
      </c>
      <c r="M90">
        <v>3</v>
      </c>
      <c r="N90">
        <v>3500</v>
      </c>
      <c r="O90">
        <v>20</v>
      </c>
      <c r="P90">
        <v>8400</v>
      </c>
      <c r="Q90">
        <v>1607.44</v>
      </c>
      <c r="R90" t="s">
        <v>30</v>
      </c>
      <c r="S90" t="s">
        <v>51</v>
      </c>
      <c r="T90" t="s">
        <v>32</v>
      </c>
    </row>
    <row r="91" spans="1:20" x14ac:dyDescent="0.35">
      <c r="A91" t="s">
        <v>390</v>
      </c>
      <c r="B91" t="s">
        <v>391</v>
      </c>
      <c r="C91" t="s">
        <v>392</v>
      </c>
      <c r="D91" t="s">
        <v>393</v>
      </c>
      <c r="E91" t="s">
        <v>23</v>
      </c>
      <c r="F91">
        <v>45</v>
      </c>
      <c r="G91" t="s">
        <v>114</v>
      </c>
      <c r="H91" t="s">
        <v>115</v>
      </c>
      <c r="I91" t="s">
        <v>88</v>
      </c>
      <c r="J91" t="s">
        <v>47</v>
      </c>
      <c r="K91" t="s">
        <v>48</v>
      </c>
      <c r="L91" t="s">
        <v>116</v>
      </c>
      <c r="M91">
        <v>2</v>
      </c>
      <c r="N91">
        <v>120</v>
      </c>
      <c r="O91">
        <v>15</v>
      </c>
      <c r="P91">
        <v>204</v>
      </c>
      <c r="Q91">
        <v>48.25</v>
      </c>
      <c r="R91" t="s">
        <v>30</v>
      </c>
      <c r="S91" t="s">
        <v>51</v>
      </c>
      <c r="T91" t="s">
        <v>52</v>
      </c>
    </row>
    <row r="92" spans="1:20" x14ac:dyDescent="0.35">
      <c r="A92" t="s">
        <v>394</v>
      </c>
      <c r="B92" t="s">
        <v>395</v>
      </c>
      <c r="C92" t="s">
        <v>368</v>
      </c>
      <c r="D92" t="s">
        <v>234</v>
      </c>
      <c r="E92" t="s">
        <v>23</v>
      </c>
      <c r="F92">
        <v>59</v>
      </c>
      <c r="G92" t="s">
        <v>57</v>
      </c>
      <c r="H92" t="s">
        <v>57</v>
      </c>
      <c r="I92" t="s">
        <v>58</v>
      </c>
      <c r="J92" t="s">
        <v>89</v>
      </c>
      <c r="K92" t="s">
        <v>90</v>
      </c>
      <c r="L92" t="s">
        <v>128</v>
      </c>
      <c r="M92">
        <v>2</v>
      </c>
      <c r="N92">
        <v>7000</v>
      </c>
      <c r="O92">
        <v>10</v>
      </c>
      <c r="P92">
        <v>12600</v>
      </c>
      <c r="Q92">
        <v>3193.47</v>
      </c>
      <c r="R92" t="s">
        <v>41</v>
      </c>
      <c r="S92" t="s">
        <v>51</v>
      </c>
      <c r="T92" t="s">
        <v>117</v>
      </c>
    </row>
    <row r="93" spans="1:20" x14ac:dyDescent="0.35">
      <c r="A93" t="s">
        <v>396</v>
      </c>
      <c r="B93" t="s">
        <v>397</v>
      </c>
      <c r="C93" t="s">
        <v>270</v>
      </c>
      <c r="D93" t="s">
        <v>302</v>
      </c>
      <c r="E93" t="s">
        <v>23</v>
      </c>
      <c r="F93">
        <v>37</v>
      </c>
      <c r="G93" t="s">
        <v>86</v>
      </c>
      <c r="H93" t="s">
        <v>87</v>
      </c>
      <c r="I93" t="s">
        <v>88</v>
      </c>
      <c r="J93" t="s">
        <v>89</v>
      </c>
      <c r="K93" t="s">
        <v>90</v>
      </c>
      <c r="L93" t="s">
        <v>128</v>
      </c>
      <c r="M93">
        <v>2</v>
      </c>
      <c r="N93">
        <v>7000</v>
      </c>
      <c r="O93">
        <v>5</v>
      </c>
      <c r="P93">
        <v>13300</v>
      </c>
      <c r="Q93">
        <v>2442.11</v>
      </c>
      <c r="R93" t="s">
        <v>30</v>
      </c>
      <c r="S93" t="s">
        <v>51</v>
      </c>
      <c r="T93" t="s">
        <v>65</v>
      </c>
    </row>
    <row r="94" spans="1:20" x14ac:dyDescent="0.35">
      <c r="A94" t="s">
        <v>398</v>
      </c>
      <c r="B94" t="s">
        <v>399</v>
      </c>
      <c r="C94" t="s">
        <v>400</v>
      </c>
      <c r="D94" t="s">
        <v>362</v>
      </c>
      <c r="E94" t="s">
        <v>23</v>
      </c>
      <c r="F94">
        <v>44</v>
      </c>
      <c r="G94" t="s">
        <v>46</v>
      </c>
      <c r="H94" t="s">
        <v>25</v>
      </c>
      <c r="I94" t="s">
        <v>26</v>
      </c>
      <c r="J94" t="s">
        <v>27</v>
      </c>
      <c r="K94" t="s">
        <v>28</v>
      </c>
      <c r="L94" t="s">
        <v>40</v>
      </c>
      <c r="M94">
        <v>3</v>
      </c>
      <c r="N94">
        <v>2500</v>
      </c>
      <c r="O94">
        <v>5</v>
      </c>
      <c r="P94">
        <v>7125</v>
      </c>
      <c r="Q94">
        <v>690.1</v>
      </c>
      <c r="R94" t="s">
        <v>81</v>
      </c>
      <c r="S94" t="s">
        <v>31</v>
      </c>
      <c r="T94" t="s">
        <v>65</v>
      </c>
    </row>
    <row r="95" spans="1:20" x14ac:dyDescent="0.35">
      <c r="A95" t="s">
        <v>401</v>
      </c>
      <c r="B95" t="s">
        <v>402</v>
      </c>
      <c r="C95" t="s">
        <v>237</v>
      </c>
      <c r="D95" t="s">
        <v>403</v>
      </c>
      <c r="E95" t="s">
        <v>23</v>
      </c>
      <c r="F95">
        <v>45</v>
      </c>
      <c r="G95" t="s">
        <v>86</v>
      </c>
      <c r="H95" t="s">
        <v>87</v>
      </c>
      <c r="I95" t="s">
        <v>88</v>
      </c>
      <c r="J95" t="s">
        <v>89</v>
      </c>
      <c r="K95" t="s">
        <v>90</v>
      </c>
      <c r="L95" t="s">
        <v>242</v>
      </c>
      <c r="M95">
        <v>2</v>
      </c>
      <c r="N95">
        <v>6000</v>
      </c>
      <c r="O95">
        <v>5</v>
      </c>
      <c r="P95">
        <v>11400</v>
      </c>
      <c r="Q95">
        <v>1438.77</v>
      </c>
      <c r="R95" t="s">
        <v>50</v>
      </c>
      <c r="S95" t="s">
        <v>51</v>
      </c>
      <c r="T95" t="s">
        <v>65</v>
      </c>
    </row>
    <row r="96" spans="1:20" x14ac:dyDescent="0.35">
      <c r="A96" t="s">
        <v>404</v>
      </c>
      <c r="B96" t="s">
        <v>199</v>
      </c>
      <c r="C96" t="s">
        <v>405</v>
      </c>
      <c r="D96" t="s">
        <v>164</v>
      </c>
      <c r="E96" t="s">
        <v>23</v>
      </c>
      <c r="F96">
        <v>50</v>
      </c>
      <c r="G96" t="s">
        <v>46</v>
      </c>
      <c r="H96" t="s">
        <v>25</v>
      </c>
      <c r="I96" t="s">
        <v>26</v>
      </c>
      <c r="J96" t="s">
        <v>27</v>
      </c>
      <c r="K96" t="s">
        <v>28</v>
      </c>
      <c r="L96" t="s">
        <v>29</v>
      </c>
      <c r="M96">
        <v>5</v>
      </c>
      <c r="N96">
        <v>12000</v>
      </c>
      <c r="O96">
        <v>10</v>
      </c>
      <c r="P96">
        <v>54000</v>
      </c>
      <c r="Q96">
        <v>9077.11</v>
      </c>
      <c r="R96" t="s">
        <v>30</v>
      </c>
      <c r="S96" t="s">
        <v>31</v>
      </c>
      <c r="T96" t="s">
        <v>52</v>
      </c>
    </row>
    <row r="97" spans="1:20" x14ac:dyDescent="0.35">
      <c r="A97" t="s">
        <v>406</v>
      </c>
      <c r="B97" t="s">
        <v>407</v>
      </c>
      <c r="C97" t="s">
        <v>408</v>
      </c>
      <c r="D97" t="s">
        <v>45</v>
      </c>
      <c r="E97" t="s">
        <v>23</v>
      </c>
      <c r="F97">
        <v>49</v>
      </c>
      <c r="G97" t="s">
        <v>126</v>
      </c>
      <c r="H97" t="s">
        <v>127</v>
      </c>
      <c r="I97" t="s">
        <v>88</v>
      </c>
      <c r="J97" t="s">
        <v>78</v>
      </c>
      <c r="K97" t="s">
        <v>79</v>
      </c>
      <c r="L97" t="s">
        <v>156</v>
      </c>
      <c r="M97">
        <v>5</v>
      </c>
      <c r="N97">
        <v>800</v>
      </c>
      <c r="O97">
        <v>10</v>
      </c>
      <c r="P97">
        <v>3600</v>
      </c>
      <c r="Q97">
        <v>677.52</v>
      </c>
      <c r="R97" t="s">
        <v>41</v>
      </c>
      <c r="S97" t="s">
        <v>51</v>
      </c>
      <c r="T97" t="s">
        <v>65</v>
      </c>
    </row>
    <row r="98" spans="1:20" x14ac:dyDescent="0.35">
      <c r="A98" t="s">
        <v>409</v>
      </c>
      <c r="B98" t="s">
        <v>103</v>
      </c>
      <c r="C98" t="s">
        <v>150</v>
      </c>
      <c r="D98" t="s">
        <v>410</v>
      </c>
      <c r="E98" t="s">
        <v>37</v>
      </c>
      <c r="F98">
        <v>43</v>
      </c>
      <c r="G98" t="s">
        <v>98</v>
      </c>
      <c r="H98" t="s">
        <v>99</v>
      </c>
      <c r="I98" t="s">
        <v>100</v>
      </c>
      <c r="J98" t="s">
        <v>47</v>
      </c>
      <c r="K98" t="s">
        <v>48</v>
      </c>
      <c r="L98" t="s">
        <v>116</v>
      </c>
      <c r="M98">
        <v>2</v>
      </c>
      <c r="N98">
        <v>120</v>
      </c>
      <c r="O98">
        <v>5</v>
      </c>
      <c r="P98">
        <v>228</v>
      </c>
      <c r="Q98">
        <v>21.88</v>
      </c>
      <c r="R98" t="s">
        <v>41</v>
      </c>
      <c r="S98" t="s">
        <v>51</v>
      </c>
      <c r="T98" t="s">
        <v>32</v>
      </c>
    </row>
    <row r="99" spans="1:20" x14ac:dyDescent="0.35">
      <c r="A99" t="s">
        <v>411</v>
      </c>
      <c r="B99" t="s">
        <v>412</v>
      </c>
      <c r="C99" t="s">
        <v>131</v>
      </c>
      <c r="D99" t="s">
        <v>413</v>
      </c>
      <c r="E99" t="s">
        <v>23</v>
      </c>
      <c r="F99">
        <v>21</v>
      </c>
      <c r="G99" t="s">
        <v>46</v>
      </c>
      <c r="H99" t="s">
        <v>25</v>
      </c>
      <c r="I99" t="s">
        <v>26</v>
      </c>
      <c r="J99" t="s">
        <v>89</v>
      </c>
      <c r="K99" t="s">
        <v>90</v>
      </c>
      <c r="L99" t="s">
        <v>91</v>
      </c>
      <c r="M99">
        <v>4</v>
      </c>
      <c r="N99">
        <v>9000</v>
      </c>
      <c r="O99">
        <v>20</v>
      </c>
      <c r="P99">
        <v>28800</v>
      </c>
      <c r="Q99">
        <v>6077.43</v>
      </c>
      <c r="R99" t="s">
        <v>41</v>
      </c>
      <c r="S99" t="s">
        <v>51</v>
      </c>
      <c r="T99" t="s">
        <v>117</v>
      </c>
    </row>
    <row r="100" spans="1:20" x14ac:dyDescent="0.35">
      <c r="A100" t="s">
        <v>414</v>
      </c>
      <c r="B100" t="s">
        <v>415</v>
      </c>
      <c r="C100" t="s">
        <v>214</v>
      </c>
      <c r="D100" t="s">
        <v>132</v>
      </c>
      <c r="E100" t="s">
        <v>23</v>
      </c>
      <c r="F100">
        <v>43</v>
      </c>
      <c r="G100" t="s">
        <v>86</v>
      </c>
      <c r="H100" t="s">
        <v>87</v>
      </c>
      <c r="I100" t="s">
        <v>88</v>
      </c>
      <c r="J100" t="s">
        <v>89</v>
      </c>
      <c r="K100" t="s">
        <v>90</v>
      </c>
      <c r="L100" t="s">
        <v>242</v>
      </c>
      <c r="M100">
        <v>1</v>
      </c>
      <c r="N100">
        <v>6000</v>
      </c>
      <c r="O100">
        <v>20</v>
      </c>
      <c r="P100">
        <v>4800</v>
      </c>
      <c r="Q100">
        <v>1127.51</v>
      </c>
      <c r="R100" t="s">
        <v>30</v>
      </c>
      <c r="S100" t="s">
        <v>51</v>
      </c>
      <c r="T100" t="s">
        <v>117</v>
      </c>
    </row>
    <row r="101" spans="1:20" x14ac:dyDescent="0.35">
      <c r="A101" t="s">
        <v>416</v>
      </c>
      <c r="B101" t="s">
        <v>417</v>
      </c>
      <c r="C101" t="s">
        <v>189</v>
      </c>
      <c r="D101" t="s">
        <v>418</v>
      </c>
      <c r="E101" t="s">
        <v>23</v>
      </c>
      <c r="F101">
        <v>27</v>
      </c>
      <c r="G101" t="s">
        <v>126</v>
      </c>
      <c r="H101" t="s">
        <v>127</v>
      </c>
      <c r="I101" t="s">
        <v>88</v>
      </c>
      <c r="J101" t="s">
        <v>27</v>
      </c>
      <c r="K101" t="s">
        <v>28</v>
      </c>
      <c r="L101" t="s">
        <v>73</v>
      </c>
      <c r="M101">
        <v>5</v>
      </c>
      <c r="N101">
        <v>25000</v>
      </c>
      <c r="O101">
        <v>20</v>
      </c>
      <c r="P101">
        <v>100000</v>
      </c>
      <c r="Q101">
        <v>19010.3</v>
      </c>
      <c r="R101" t="s">
        <v>41</v>
      </c>
      <c r="S101" t="s">
        <v>51</v>
      </c>
      <c r="T101" t="s">
        <v>32</v>
      </c>
    </row>
    <row r="102" spans="1:20" x14ac:dyDescent="0.35">
      <c r="A102" t="s">
        <v>419</v>
      </c>
      <c r="B102" t="s">
        <v>420</v>
      </c>
      <c r="C102" t="s">
        <v>108</v>
      </c>
      <c r="D102" t="s">
        <v>421</v>
      </c>
      <c r="E102" t="s">
        <v>37</v>
      </c>
      <c r="F102">
        <v>33</v>
      </c>
      <c r="G102" t="s">
        <v>98</v>
      </c>
      <c r="H102" t="s">
        <v>99</v>
      </c>
      <c r="I102" t="s">
        <v>100</v>
      </c>
      <c r="J102" t="s">
        <v>78</v>
      </c>
      <c r="K102" t="s">
        <v>79</v>
      </c>
      <c r="L102" t="s">
        <v>101</v>
      </c>
      <c r="M102">
        <v>3</v>
      </c>
      <c r="N102">
        <v>3500</v>
      </c>
      <c r="O102">
        <v>10</v>
      </c>
      <c r="P102">
        <v>9450</v>
      </c>
      <c r="Q102">
        <v>2004.27</v>
      </c>
      <c r="R102" t="s">
        <v>41</v>
      </c>
      <c r="S102" t="s">
        <v>51</v>
      </c>
      <c r="T102" t="s">
        <v>32</v>
      </c>
    </row>
    <row r="103" spans="1:20" x14ac:dyDescent="0.35">
      <c r="A103" t="s">
        <v>422</v>
      </c>
      <c r="B103" t="s">
        <v>423</v>
      </c>
      <c r="C103" t="s">
        <v>189</v>
      </c>
      <c r="D103" t="s">
        <v>424</v>
      </c>
      <c r="E103" t="s">
        <v>37</v>
      </c>
      <c r="F103">
        <v>20</v>
      </c>
      <c r="G103" t="s">
        <v>98</v>
      </c>
      <c r="H103" t="s">
        <v>99</v>
      </c>
      <c r="I103" t="s">
        <v>100</v>
      </c>
      <c r="J103" t="s">
        <v>47</v>
      </c>
      <c r="K103" t="s">
        <v>48</v>
      </c>
      <c r="L103" t="s">
        <v>116</v>
      </c>
      <c r="M103">
        <v>2</v>
      </c>
      <c r="N103">
        <v>120</v>
      </c>
      <c r="O103">
        <v>15</v>
      </c>
      <c r="P103">
        <v>204</v>
      </c>
      <c r="Q103">
        <v>16.690000000000001</v>
      </c>
      <c r="R103" t="s">
        <v>81</v>
      </c>
      <c r="S103" t="s">
        <v>51</v>
      </c>
      <c r="T103" t="s">
        <v>117</v>
      </c>
    </row>
    <row r="104" spans="1:20" x14ac:dyDescent="0.35">
      <c r="A104" t="s">
        <v>425</v>
      </c>
      <c r="B104" t="s">
        <v>426</v>
      </c>
      <c r="C104" t="s">
        <v>229</v>
      </c>
      <c r="D104" t="s">
        <v>365</v>
      </c>
      <c r="E104" t="s">
        <v>37</v>
      </c>
      <c r="F104">
        <v>57</v>
      </c>
      <c r="G104" t="s">
        <v>98</v>
      </c>
      <c r="H104" t="s">
        <v>99</v>
      </c>
      <c r="I104" t="s">
        <v>100</v>
      </c>
      <c r="J104" t="s">
        <v>27</v>
      </c>
      <c r="K104" t="s">
        <v>28</v>
      </c>
      <c r="L104" t="s">
        <v>29</v>
      </c>
      <c r="M104">
        <v>3</v>
      </c>
      <c r="N104">
        <v>12000</v>
      </c>
      <c r="O104">
        <v>15</v>
      </c>
      <c r="P104">
        <v>30600</v>
      </c>
      <c r="Q104">
        <v>6611.79</v>
      </c>
      <c r="R104" t="s">
        <v>41</v>
      </c>
      <c r="S104" t="s">
        <v>31</v>
      </c>
      <c r="T104" t="s">
        <v>65</v>
      </c>
    </row>
    <row r="105" spans="1:20" x14ac:dyDescent="0.35">
      <c r="A105" t="s">
        <v>427</v>
      </c>
      <c r="B105" t="s">
        <v>428</v>
      </c>
      <c r="C105" t="s">
        <v>429</v>
      </c>
      <c r="D105" t="s">
        <v>430</v>
      </c>
      <c r="E105" t="s">
        <v>23</v>
      </c>
      <c r="F105">
        <v>54</v>
      </c>
      <c r="G105" t="s">
        <v>24</v>
      </c>
      <c r="H105" t="s">
        <v>25</v>
      </c>
      <c r="I105" t="s">
        <v>26</v>
      </c>
      <c r="J105" t="s">
        <v>47</v>
      </c>
      <c r="K105" t="s">
        <v>48</v>
      </c>
      <c r="L105" t="s">
        <v>116</v>
      </c>
      <c r="M105">
        <v>1</v>
      </c>
      <c r="N105">
        <v>120</v>
      </c>
      <c r="O105">
        <v>5</v>
      </c>
      <c r="P105">
        <v>114</v>
      </c>
      <c r="Q105">
        <v>19.62</v>
      </c>
      <c r="R105" t="s">
        <v>30</v>
      </c>
      <c r="S105" t="s">
        <v>51</v>
      </c>
      <c r="T105" t="s">
        <v>52</v>
      </c>
    </row>
    <row r="106" spans="1:20" x14ac:dyDescent="0.35">
      <c r="A106" t="s">
        <v>431</v>
      </c>
      <c r="B106" t="s">
        <v>432</v>
      </c>
      <c r="C106" t="s">
        <v>385</v>
      </c>
      <c r="D106" t="s">
        <v>433</v>
      </c>
      <c r="E106" t="s">
        <v>23</v>
      </c>
      <c r="F106">
        <v>22</v>
      </c>
      <c r="G106" t="s">
        <v>46</v>
      </c>
      <c r="H106" t="s">
        <v>25</v>
      </c>
      <c r="I106" t="s">
        <v>26</v>
      </c>
      <c r="J106" t="s">
        <v>27</v>
      </c>
      <c r="K106" t="s">
        <v>28</v>
      </c>
      <c r="L106" t="s">
        <v>29</v>
      </c>
      <c r="M106">
        <v>3</v>
      </c>
      <c r="N106">
        <v>12000</v>
      </c>
      <c r="O106">
        <v>15</v>
      </c>
      <c r="P106">
        <v>30600</v>
      </c>
      <c r="Q106">
        <v>5651.37</v>
      </c>
      <c r="R106" t="s">
        <v>81</v>
      </c>
      <c r="S106" t="s">
        <v>51</v>
      </c>
      <c r="T106" t="s">
        <v>52</v>
      </c>
    </row>
    <row r="107" spans="1:20" x14ac:dyDescent="0.35">
      <c r="A107" t="s">
        <v>434</v>
      </c>
      <c r="B107" t="s">
        <v>435</v>
      </c>
      <c r="C107" t="s">
        <v>436</v>
      </c>
      <c r="D107" t="s">
        <v>437</v>
      </c>
      <c r="E107" t="s">
        <v>23</v>
      </c>
      <c r="F107">
        <v>60</v>
      </c>
      <c r="G107" t="s">
        <v>38</v>
      </c>
      <c r="H107" t="s">
        <v>39</v>
      </c>
      <c r="I107" t="s">
        <v>26</v>
      </c>
      <c r="J107" t="s">
        <v>47</v>
      </c>
      <c r="K107" t="s">
        <v>48</v>
      </c>
      <c r="L107" t="s">
        <v>49</v>
      </c>
      <c r="M107">
        <v>1</v>
      </c>
      <c r="N107">
        <v>150</v>
      </c>
      <c r="O107">
        <v>20</v>
      </c>
      <c r="P107">
        <v>120</v>
      </c>
      <c r="Q107">
        <v>13.51</v>
      </c>
      <c r="R107" t="s">
        <v>50</v>
      </c>
      <c r="S107" t="s">
        <v>51</v>
      </c>
      <c r="T107" t="s">
        <v>117</v>
      </c>
    </row>
    <row r="108" spans="1:20" x14ac:dyDescent="0.35">
      <c r="A108" t="s">
        <v>438</v>
      </c>
      <c r="B108" t="s">
        <v>439</v>
      </c>
      <c r="C108" t="s">
        <v>440</v>
      </c>
      <c r="D108" t="s">
        <v>441</v>
      </c>
      <c r="E108" t="s">
        <v>23</v>
      </c>
      <c r="F108">
        <v>57</v>
      </c>
      <c r="G108" t="s">
        <v>114</v>
      </c>
      <c r="H108" t="s">
        <v>115</v>
      </c>
      <c r="I108" t="s">
        <v>88</v>
      </c>
      <c r="J108" t="s">
        <v>78</v>
      </c>
      <c r="K108" t="s">
        <v>79</v>
      </c>
      <c r="L108" t="s">
        <v>156</v>
      </c>
      <c r="M108">
        <v>2</v>
      </c>
      <c r="N108">
        <v>800</v>
      </c>
      <c r="O108">
        <v>0</v>
      </c>
      <c r="P108">
        <v>1600</v>
      </c>
      <c r="Q108">
        <v>186.05</v>
      </c>
      <c r="R108" t="s">
        <v>59</v>
      </c>
      <c r="S108" t="s">
        <v>51</v>
      </c>
      <c r="T108" t="s">
        <v>32</v>
      </c>
    </row>
    <row r="109" spans="1:20" x14ac:dyDescent="0.35">
      <c r="A109" t="s">
        <v>442</v>
      </c>
      <c r="B109" t="s">
        <v>443</v>
      </c>
      <c r="C109" t="s">
        <v>96</v>
      </c>
      <c r="D109" t="s">
        <v>226</v>
      </c>
      <c r="E109" t="s">
        <v>37</v>
      </c>
      <c r="F109">
        <v>22</v>
      </c>
      <c r="G109" t="s">
        <v>98</v>
      </c>
      <c r="H109" t="s">
        <v>99</v>
      </c>
      <c r="I109" t="s">
        <v>100</v>
      </c>
      <c r="J109" t="s">
        <v>78</v>
      </c>
      <c r="K109" t="s">
        <v>79</v>
      </c>
      <c r="L109" t="s">
        <v>101</v>
      </c>
      <c r="M109">
        <v>1</v>
      </c>
      <c r="N109">
        <v>3500</v>
      </c>
      <c r="O109">
        <v>20</v>
      </c>
      <c r="P109">
        <v>2800</v>
      </c>
      <c r="Q109">
        <v>554.54999999999995</v>
      </c>
      <c r="R109" t="s">
        <v>81</v>
      </c>
      <c r="S109" t="s">
        <v>92</v>
      </c>
      <c r="T109" t="s">
        <v>65</v>
      </c>
    </row>
    <row r="110" spans="1:20" x14ac:dyDescent="0.35">
      <c r="A110" t="s">
        <v>444</v>
      </c>
      <c r="B110" t="s">
        <v>445</v>
      </c>
      <c r="C110" t="s">
        <v>446</v>
      </c>
      <c r="D110" t="s">
        <v>56</v>
      </c>
      <c r="E110" t="s">
        <v>37</v>
      </c>
      <c r="F110">
        <v>22</v>
      </c>
      <c r="G110" t="s">
        <v>126</v>
      </c>
      <c r="H110" t="s">
        <v>127</v>
      </c>
      <c r="I110" t="s">
        <v>88</v>
      </c>
      <c r="J110" t="s">
        <v>47</v>
      </c>
      <c r="K110" t="s">
        <v>48</v>
      </c>
      <c r="L110" t="s">
        <v>215</v>
      </c>
      <c r="M110">
        <v>4</v>
      </c>
      <c r="N110">
        <v>450</v>
      </c>
      <c r="O110">
        <v>5</v>
      </c>
      <c r="P110">
        <v>1710</v>
      </c>
      <c r="Q110">
        <v>290.27</v>
      </c>
      <c r="R110" t="s">
        <v>41</v>
      </c>
      <c r="S110" t="s">
        <v>51</v>
      </c>
      <c r="T110" t="s">
        <v>52</v>
      </c>
    </row>
    <row r="111" spans="1:20" x14ac:dyDescent="0.35">
      <c r="A111" t="s">
        <v>447</v>
      </c>
      <c r="B111" t="s">
        <v>448</v>
      </c>
      <c r="C111" t="s">
        <v>284</v>
      </c>
      <c r="D111" t="s">
        <v>449</v>
      </c>
      <c r="E111" t="s">
        <v>37</v>
      </c>
      <c r="F111">
        <v>51</v>
      </c>
      <c r="G111" t="s">
        <v>114</v>
      </c>
      <c r="H111" t="s">
        <v>115</v>
      </c>
      <c r="I111" t="s">
        <v>88</v>
      </c>
      <c r="J111" t="s">
        <v>78</v>
      </c>
      <c r="K111" t="s">
        <v>79</v>
      </c>
      <c r="L111" t="s">
        <v>80</v>
      </c>
      <c r="M111">
        <v>2</v>
      </c>
      <c r="N111">
        <v>1800</v>
      </c>
      <c r="O111">
        <v>10</v>
      </c>
      <c r="P111">
        <v>3240</v>
      </c>
      <c r="Q111">
        <v>814.52</v>
      </c>
      <c r="R111" t="s">
        <v>81</v>
      </c>
      <c r="S111" t="s">
        <v>92</v>
      </c>
      <c r="T111" t="s">
        <v>117</v>
      </c>
    </row>
    <row r="112" spans="1:20" x14ac:dyDescent="0.35">
      <c r="A112" t="s">
        <v>450</v>
      </c>
      <c r="B112" t="s">
        <v>451</v>
      </c>
      <c r="C112" t="s">
        <v>214</v>
      </c>
      <c r="D112" t="s">
        <v>441</v>
      </c>
      <c r="E112" t="s">
        <v>23</v>
      </c>
      <c r="F112">
        <v>26</v>
      </c>
      <c r="G112" t="s">
        <v>46</v>
      </c>
      <c r="H112" t="s">
        <v>25</v>
      </c>
      <c r="I112" t="s">
        <v>26</v>
      </c>
      <c r="J112" t="s">
        <v>47</v>
      </c>
      <c r="K112" t="s">
        <v>48</v>
      </c>
      <c r="L112" t="s">
        <v>49</v>
      </c>
      <c r="M112">
        <v>3</v>
      </c>
      <c r="N112">
        <v>150</v>
      </c>
      <c r="O112">
        <v>20</v>
      </c>
      <c r="P112">
        <v>360</v>
      </c>
      <c r="Q112">
        <v>30.33</v>
      </c>
      <c r="R112" t="s">
        <v>59</v>
      </c>
      <c r="S112" t="s">
        <v>31</v>
      </c>
      <c r="T112" t="s">
        <v>52</v>
      </c>
    </row>
    <row r="113" spans="1:20" x14ac:dyDescent="0.35">
      <c r="A113" t="s">
        <v>452</v>
      </c>
      <c r="B113" t="s">
        <v>372</v>
      </c>
      <c r="C113" t="s">
        <v>84</v>
      </c>
      <c r="D113" t="s">
        <v>453</v>
      </c>
      <c r="E113" t="s">
        <v>37</v>
      </c>
      <c r="F113">
        <v>37</v>
      </c>
      <c r="G113" t="s">
        <v>24</v>
      </c>
      <c r="H113" t="s">
        <v>25</v>
      </c>
      <c r="I113" t="s">
        <v>26</v>
      </c>
      <c r="J113" t="s">
        <v>89</v>
      </c>
      <c r="K113" t="s">
        <v>90</v>
      </c>
      <c r="L113" t="s">
        <v>242</v>
      </c>
      <c r="M113">
        <v>5</v>
      </c>
      <c r="N113">
        <v>6000</v>
      </c>
      <c r="O113">
        <v>5</v>
      </c>
      <c r="P113">
        <v>28500</v>
      </c>
      <c r="Q113">
        <v>4452.68</v>
      </c>
      <c r="R113" t="s">
        <v>59</v>
      </c>
      <c r="S113" t="s">
        <v>51</v>
      </c>
      <c r="T113" t="s">
        <v>117</v>
      </c>
    </row>
    <row r="114" spans="1:20" x14ac:dyDescent="0.35">
      <c r="A114" t="s">
        <v>454</v>
      </c>
      <c r="B114" t="s">
        <v>455</v>
      </c>
      <c r="C114" t="s">
        <v>456</v>
      </c>
      <c r="D114" t="s">
        <v>457</v>
      </c>
      <c r="E114" t="s">
        <v>23</v>
      </c>
      <c r="F114">
        <v>30</v>
      </c>
      <c r="G114" t="s">
        <v>46</v>
      </c>
      <c r="H114" t="s">
        <v>25</v>
      </c>
      <c r="I114" t="s">
        <v>26</v>
      </c>
      <c r="J114" t="s">
        <v>89</v>
      </c>
      <c r="K114" t="s">
        <v>90</v>
      </c>
      <c r="L114" t="s">
        <v>128</v>
      </c>
      <c r="M114">
        <v>5</v>
      </c>
      <c r="N114">
        <v>7000</v>
      </c>
      <c r="O114">
        <v>5</v>
      </c>
      <c r="P114">
        <v>33250</v>
      </c>
      <c r="Q114">
        <v>5689.84</v>
      </c>
      <c r="R114" t="s">
        <v>41</v>
      </c>
      <c r="S114" t="s">
        <v>31</v>
      </c>
      <c r="T114" t="s">
        <v>93</v>
      </c>
    </row>
    <row r="115" spans="1:20" x14ac:dyDescent="0.35">
      <c r="A115" t="s">
        <v>458</v>
      </c>
      <c r="B115" t="s">
        <v>459</v>
      </c>
      <c r="C115" t="s">
        <v>120</v>
      </c>
      <c r="D115" t="s">
        <v>168</v>
      </c>
      <c r="E115" t="s">
        <v>37</v>
      </c>
      <c r="F115">
        <v>44</v>
      </c>
      <c r="G115" t="s">
        <v>38</v>
      </c>
      <c r="H115" t="s">
        <v>39</v>
      </c>
      <c r="I115" t="s">
        <v>26</v>
      </c>
      <c r="J115" t="s">
        <v>78</v>
      </c>
      <c r="K115" t="s">
        <v>79</v>
      </c>
      <c r="L115" t="s">
        <v>80</v>
      </c>
      <c r="M115">
        <v>4</v>
      </c>
      <c r="N115">
        <v>1800</v>
      </c>
      <c r="O115">
        <v>0</v>
      </c>
      <c r="P115">
        <v>7200</v>
      </c>
      <c r="Q115">
        <v>1182.3399999999999</v>
      </c>
      <c r="R115" t="s">
        <v>30</v>
      </c>
      <c r="S115" t="s">
        <v>51</v>
      </c>
      <c r="T115" t="s">
        <v>117</v>
      </c>
    </row>
    <row r="116" spans="1:20" x14ac:dyDescent="0.35">
      <c r="A116" t="s">
        <v>460</v>
      </c>
      <c r="B116" t="s">
        <v>461</v>
      </c>
      <c r="C116" t="s">
        <v>256</v>
      </c>
      <c r="D116" t="s">
        <v>324</v>
      </c>
      <c r="E116" t="s">
        <v>23</v>
      </c>
      <c r="F116">
        <v>38</v>
      </c>
      <c r="G116" t="s">
        <v>46</v>
      </c>
      <c r="H116" t="s">
        <v>25</v>
      </c>
      <c r="I116" t="s">
        <v>26</v>
      </c>
      <c r="J116" t="s">
        <v>27</v>
      </c>
      <c r="K116" t="s">
        <v>28</v>
      </c>
      <c r="L116" t="s">
        <v>29</v>
      </c>
      <c r="M116">
        <v>4</v>
      </c>
      <c r="N116">
        <v>12000</v>
      </c>
      <c r="O116">
        <v>0</v>
      </c>
      <c r="P116">
        <v>48000</v>
      </c>
      <c r="Q116">
        <v>11371.15</v>
      </c>
      <c r="R116" t="s">
        <v>59</v>
      </c>
      <c r="S116" t="s">
        <v>31</v>
      </c>
      <c r="T116" t="s">
        <v>52</v>
      </c>
    </row>
    <row r="117" spans="1:20" x14ac:dyDescent="0.35">
      <c r="A117" t="s">
        <v>462</v>
      </c>
      <c r="B117" t="s">
        <v>463</v>
      </c>
      <c r="C117" t="s">
        <v>464</v>
      </c>
      <c r="D117" t="s">
        <v>465</v>
      </c>
      <c r="E117" t="s">
        <v>37</v>
      </c>
      <c r="F117">
        <v>39</v>
      </c>
      <c r="G117" t="s">
        <v>46</v>
      </c>
      <c r="H117" t="s">
        <v>25</v>
      </c>
      <c r="I117" t="s">
        <v>26</v>
      </c>
      <c r="J117" t="s">
        <v>89</v>
      </c>
      <c r="K117" t="s">
        <v>90</v>
      </c>
      <c r="L117" t="s">
        <v>91</v>
      </c>
      <c r="M117">
        <v>1</v>
      </c>
      <c r="N117">
        <v>9000</v>
      </c>
      <c r="O117">
        <v>20</v>
      </c>
      <c r="P117">
        <v>7200</v>
      </c>
      <c r="Q117">
        <v>1857.52</v>
      </c>
      <c r="R117" t="s">
        <v>30</v>
      </c>
      <c r="S117" t="s">
        <v>51</v>
      </c>
      <c r="T117" t="s">
        <v>60</v>
      </c>
    </row>
    <row r="118" spans="1:20" x14ac:dyDescent="0.35">
      <c r="A118" t="s">
        <v>466</v>
      </c>
      <c r="B118" t="s">
        <v>467</v>
      </c>
      <c r="C118" t="s">
        <v>327</v>
      </c>
      <c r="D118" t="s">
        <v>468</v>
      </c>
      <c r="E118" t="s">
        <v>37</v>
      </c>
      <c r="F118">
        <v>53</v>
      </c>
      <c r="G118" t="s">
        <v>38</v>
      </c>
      <c r="H118" t="s">
        <v>39</v>
      </c>
      <c r="I118" t="s">
        <v>26</v>
      </c>
      <c r="J118" t="s">
        <v>78</v>
      </c>
      <c r="K118" t="s">
        <v>79</v>
      </c>
      <c r="L118" t="s">
        <v>80</v>
      </c>
      <c r="M118">
        <v>2</v>
      </c>
      <c r="N118">
        <v>1800</v>
      </c>
      <c r="O118">
        <v>5</v>
      </c>
      <c r="P118">
        <v>3420</v>
      </c>
      <c r="Q118">
        <v>525.91999999999996</v>
      </c>
      <c r="R118" t="s">
        <v>41</v>
      </c>
      <c r="S118" t="s">
        <v>51</v>
      </c>
      <c r="T118" t="s">
        <v>32</v>
      </c>
    </row>
    <row r="119" spans="1:20" x14ac:dyDescent="0.35">
      <c r="A119" t="s">
        <v>469</v>
      </c>
      <c r="B119" t="s">
        <v>470</v>
      </c>
      <c r="C119" t="s">
        <v>471</v>
      </c>
      <c r="D119" t="s">
        <v>234</v>
      </c>
      <c r="E119" t="s">
        <v>23</v>
      </c>
      <c r="F119">
        <v>31</v>
      </c>
      <c r="G119" t="s">
        <v>24</v>
      </c>
      <c r="H119" t="s">
        <v>25</v>
      </c>
      <c r="I119" t="s">
        <v>26</v>
      </c>
      <c r="J119" t="s">
        <v>47</v>
      </c>
      <c r="K119" t="s">
        <v>48</v>
      </c>
      <c r="L119" t="s">
        <v>116</v>
      </c>
      <c r="M119">
        <v>2</v>
      </c>
      <c r="N119">
        <v>120</v>
      </c>
      <c r="O119">
        <v>20</v>
      </c>
      <c r="P119">
        <v>192</v>
      </c>
      <c r="Q119">
        <v>45.54</v>
      </c>
      <c r="R119" t="s">
        <v>59</v>
      </c>
      <c r="S119" t="s">
        <v>31</v>
      </c>
      <c r="T119" t="s">
        <v>60</v>
      </c>
    </row>
    <row r="120" spans="1:20" x14ac:dyDescent="0.35">
      <c r="A120" t="s">
        <v>472</v>
      </c>
      <c r="B120" t="s">
        <v>473</v>
      </c>
      <c r="C120" t="s">
        <v>474</v>
      </c>
      <c r="D120" t="s">
        <v>164</v>
      </c>
      <c r="E120" t="s">
        <v>37</v>
      </c>
      <c r="F120">
        <v>53</v>
      </c>
      <c r="G120" t="s">
        <v>114</v>
      </c>
      <c r="H120" t="s">
        <v>115</v>
      </c>
      <c r="I120" t="s">
        <v>88</v>
      </c>
      <c r="J120" t="s">
        <v>89</v>
      </c>
      <c r="K120" t="s">
        <v>90</v>
      </c>
      <c r="L120" t="s">
        <v>128</v>
      </c>
      <c r="M120">
        <v>1</v>
      </c>
      <c r="N120">
        <v>7000</v>
      </c>
      <c r="O120">
        <v>15</v>
      </c>
      <c r="P120">
        <v>5950</v>
      </c>
      <c r="Q120">
        <v>692.2</v>
      </c>
      <c r="R120" t="s">
        <v>41</v>
      </c>
      <c r="S120" t="s">
        <v>51</v>
      </c>
      <c r="T120" t="s">
        <v>52</v>
      </c>
    </row>
    <row r="121" spans="1:20" x14ac:dyDescent="0.35">
      <c r="A121" t="s">
        <v>475</v>
      </c>
      <c r="B121" t="s">
        <v>476</v>
      </c>
      <c r="C121" t="s">
        <v>218</v>
      </c>
      <c r="D121" t="s">
        <v>477</v>
      </c>
      <c r="E121" t="s">
        <v>37</v>
      </c>
      <c r="F121">
        <v>39</v>
      </c>
      <c r="G121" t="s">
        <v>86</v>
      </c>
      <c r="H121" t="s">
        <v>87</v>
      </c>
      <c r="I121" t="s">
        <v>88</v>
      </c>
      <c r="J121" t="s">
        <v>27</v>
      </c>
      <c r="K121" t="s">
        <v>28</v>
      </c>
      <c r="L121" t="s">
        <v>140</v>
      </c>
      <c r="M121">
        <v>5</v>
      </c>
      <c r="N121">
        <v>65000</v>
      </c>
      <c r="O121">
        <v>15</v>
      </c>
      <c r="P121">
        <v>276250</v>
      </c>
      <c r="Q121">
        <v>54063.82</v>
      </c>
      <c r="R121" t="s">
        <v>30</v>
      </c>
      <c r="S121" t="s">
        <v>31</v>
      </c>
      <c r="T121" t="s">
        <v>52</v>
      </c>
    </row>
    <row r="122" spans="1:20" x14ac:dyDescent="0.35">
      <c r="A122" t="s">
        <v>478</v>
      </c>
      <c r="B122" t="s">
        <v>426</v>
      </c>
      <c r="C122" t="s">
        <v>171</v>
      </c>
      <c r="D122" t="s">
        <v>219</v>
      </c>
      <c r="E122" t="s">
        <v>23</v>
      </c>
      <c r="F122">
        <v>25</v>
      </c>
      <c r="G122" t="s">
        <v>57</v>
      </c>
      <c r="H122" t="s">
        <v>57</v>
      </c>
      <c r="I122" t="s">
        <v>58</v>
      </c>
      <c r="J122" t="s">
        <v>47</v>
      </c>
      <c r="K122" t="s">
        <v>48</v>
      </c>
      <c r="L122" t="s">
        <v>215</v>
      </c>
      <c r="M122">
        <v>1</v>
      </c>
      <c r="N122">
        <v>450</v>
      </c>
      <c r="O122">
        <v>20</v>
      </c>
      <c r="P122">
        <v>360</v>
      </c>
      <c r="Q122">
        <v>43.26</v>
      </c>
      <c r="R122" t="s">
        <v>30</v>
      </c>
      <c r="S122" t="s">
        <v>51</v>
      </c>
      <c r="T122" t="s">
        <v>32</v>
      </c>
    </row>
    <row r="123" spans="1:20" x14ac:dyDescent="0.35">
      <c r="A123" t="s">
        <v>479</v>
      </c>
      <c r="B123" t="s">
        <v>134</v>
      </c>
      <c r="C123" t="s">
        <v>480</v>
      </c>
      <c r="D123" t="s">
        <v>275</v>
      </c>
      <c r="E123" t="s">
        <v>23</v>
      </c>
      <c r="F123">
        <v>55</v>
      </c>
      <c r="G123" t="s">
        <v>114</v>
      </c>
      <c r="H123" t="s">
        <v>115</v>
      </c>
      <c r="I123" t="s">
        <v>88</v>
      </c>
      <c r="J123" t="s">
        <v>78</v>
      </c>
      <c r="K123" t="s">
        <v>79</v>
      </c>
      <c r="L123" t="s">
        <v>101</v>
      </c>
      <c r="M123">
        <v>5</v>
      </c>
      <c r="N123">
        <v>3500</v>
      </c>
      <c r="O123">
        <v>0</v>
      </c>
      <c r="P123">
        <v>17500</v>
      </c>
      <c r="Q123">
        <v>1753.15</v>
      </c>
      <c r="R123" t="s">
        <v>30</v>
      </c>
      <c r="S123" t="s">
        <v>31</v>
      </c>
      <c r="T123" t="s">
        <v>52</v>
      </c>
    </row>
    <row r="124" spans="1:20" x14ac:dyDescent="0.35">
      <c r="A124" t="s">
        <v>481</v>
      </c>
      <c r="B124" t="s">
        <v>482</v>
      </c>
      <c r="C124" t="s">
        <v>351</v>
      </c>
      <c r="D124" t="s">
        <v>483</v>
      </c>
      <c r="E124" t="s">
        <v>23</v>
      </c>
      <c r="F124">
        <v>26</v>
      </c>
      <c r="G124" t="s">
        <v>57</v>
      </c>
      <c r="H124" t="s">
        <v>57</v>
      </c>
      <c r="I124" t="s">
        <v>58</v>
      </c>
      <c r="J124" t="s">
        <v>47</v>
      </c>
      <c r="K124" t="s">
        <v>48</v>
      </c>
      <c r="L124" t="s">
        <v>49</v>
      </c>
      <c r="M124">
        <v>5</v>
      </c>
      <c r="N124">
        <v>150</v>
      </c>
      <c r="O124">
        <v>0</v>
      </c>
      <c r="P124">
        <v>750</v>
      </c>
      <c r="Q124">
        <v>185.89</v>
      </c>
      <c r="R124" t="s">
        <v>81</v>
      </c>
      <c r="S124" t="s">
        <v>51</v>
      </c>
      <c r="T124" t="s">
        <v>65</v>
      </c>
    </row>
    <row r="125" spans="1:20" x14ac:dyDescent="0.35">
      <c r="A125" t="s">
        <v>484</v>
      </c>
      <c r="B125" t="s">
        <v>485</v>
      </c>
      <c r="C125" t="s">
        <v>486</v>
      </c>
      <c r="D125" t="s">
        <v>45</v>
      </c>
      <c r="E125" t="s">
        <v>37</v>
      </c>
      <c r="F125">
        <v>45</v>
      </c>
      <c r="G125" t="s">
        <v>38</v>
      </c>
      <c r="H125" t="s">
        <v>39</v>
      </c>
      <c r="I125" t="s">
        <v>26</v>
      </c>
      <c r="J125" t="s">
        <v>89</v>
      </c>
      <c r="K125" t="s">
        <v>90</v>
      </c>
      <c r="L125" t="s">
        <v>128</v>
      </c>
      <c r="M125">
        <v>3</v>
      </c>
      <c r="N125">
        <v>7000</v>
      </c>
      <c r="O125">
        <v>0</v>
      </c>
      <c r="P125">
        <v>21000</v>
      </c>
      <c r="Q125">
        <v>2981.68</v>
      </c>
      <c r="R125" t="s">
        <v>41</v>
      </c>
      <c r="S125" t="s">
        <v>51</v>
      </c>
      <c r="T125" t="s">
        <v>60</v>
      </c>
    </row>
    <row r="126" spans="1:20" x14ac:dyDescent="0.35">
      <c r="A126" t="s">
        <v>487</v>
      </c>
      <c r="B126" t="s">
        <v>83</v>
      </c>
      <c r="C126" t="s">
        <v>488</v>
      </c>
      <c r="D126" t="s">
        <v>489</v>
      </c>
      <c r="E126" t="s">
        <v>23</v>
      </c>
      <c r="F126">
        <v>52</v>
      </c>
      <c r="G126" t="s">
        <v>98</v>
      </c>
      <c r="H126" t="s">
        <v>99</v>
      </c>
      <c r="I126" t="s">
        <v>100</v>
      </c>
      <c r="J126" t="s">
        <v>47</v>
      </c>
      <c r="K126" t="s">
        <v>48</v>
      </c>
      <c r="L126" t="s">
        <v>49</v>
      </c>
      <c r="M126">
        <v>1</v>
      </c>
      <c r="N126">
        <v>150</v>
      </c>
      <c r="O126">
        <v>10</v>
      </c>
      <c r="P126">
        <v>135</v>
      </c>
      <c r="Q126">
        <v>34.22</v>
      </c>
      <c r="R126" t="s">
        <v>50</v>
      </c>
      <c r="S126" t="s">
        <v>51</v>
      </c>
      <c r="T126" t="s">
        <v>117</v>
      </c>
    </row>
    <row r="127" spans="1:20" x14ac:dyDescent="0.35">
      <c r="A127" t="s">
        <v>490</v>
      </c>
      <c r="B127" t="s">
        <v>491</v>
      </c>
      <c r="C127" t="s">
        <v>167</v>
      </c>
      <c r="D127" t="s">
        <v>492</v>
      </c>
      <c r="E127" t="s">
        <v>23</v>
      </c>
      <c r="F127">
        <v>49</v>
      </c>
      <c r="G127" t="s">
        <v>46</v>
      </c>
      <c r="H127" t="s">
        <v>25</v>
      </c>
      <c r="I127" t="s">
        <v>26</v>
      </c>
      <c r="J127" t="s">
        <v>78</v>
      </c>
      <c r="K127" t="s">
        <v>79</v>
      </c>
      <c r="L127" t="s">
        <v>80</v>
      </c>
      <c r="M127">
        <v>1</v>
      </c>
      <c r="N127">
        <v>1800</v>
      </c>
      <c r="O127">
        <v>5</v>
      </c>
      <c r="P127">
        <v>1710</v>
      </c>
      <c r="Q127">
        <v>346.46</v>
      </c>
      <c r="R127" t="s">
        <v>30</v>
      </c>
      <c r="S127" t="s">
        <v>31</v>
      </c>
      <c r="T127" t="s">
        <v>52</v>
      </c>
    </row>
    <row r="128" spans="1:20" x14ac:dyDescent="0.35">
      <c r="A128" t="s">
        <v>493</v>
      </c>
      <c r="B128" t="s">
        <v>294</v>
      </c>
      <c r="C128" t="s">
        <v>494</v>
      </c>
      <c r="D128" t="s">
        <v>241</v>
      </c>
      <c r="E128" t="s">
        <v>23</v>
      </c>
      <c r="F128">
        <v>24</v>
      </c>
      <c r="G128" t="s">
        <v>24</v>
      </c>
      <c r="H128" t="s">
        <v>25</v>
      </c>
      <c r="I128" t="s">
        <v>26</v>
      </c>
      <c r="J128" t="s">
        <v>47</v>
      </c>
      <c r="K128" t="s">
        <v>48</v>
      </c>
      <c r="L128" t="s">
        <v>49</v>
      </c>
      <c r="M128">
        <v>5</v>
      </c>
      <c r="N128">
        <v>150</v>
      </c>
      <c r="O128">
        <v>0</v>
      </c>
      <c r="P128">
        <v>750</v>
      </c>
      <c r="Q128">
        <v>206.75</v>
      </c>
      <c r="R128" t="s">
        <v>81</v>
      </c>
      <c r="S128" t="s">
        <v>92</v>
      </c>
      <c r="T128" t="s">
        <v>65</v>
      </c>
    </row>
    <row r="129" spans="1:20" x14ac:dyDescent="0.35">
      <c r="A129" t="s">
        <v>495</v>
      </c>
      <c r="B129" t="s">
        <v>496</v>
      </c>
      <c r="C129" t="s">
        <v>497</v>
      </c>
      <c r="D129" t="s">
        <v>36</v>
      </c>
      <c r="E129" t="s">
        <v>23</v>
      </c>
      <c r="F129">
        <v>33</v>
      </c>
      <c r="G129" t="s">
        <v>126</v>
      </c>
      <c r="H129" t="s">
        <v>127</v>
      </c>
      <c r="I129" t="s">
        <v>88</v>
      </c>
      <c r="J129" t="s">
        <v>47</v>
      </c>
      <c r="K129" t="s">
        <v>48</v>
      </c>
      <c r="L129" t="s">
        <v>49</v>
      </c>
      <c r="M129">
        <v>3</v>
      </c>
      <c r="N129">
        <v>150</v>
      </c>
      <c r="O129">
        <v>20</v>
      </c>
      <c r="P129">
        <v>360</v>
      </c>
      <c r="Q129">
        <v>94.11</v>
      </c>
      <c r="R129" t="s">
        <v>30</v>
      </c>
      <c r="S129" t="s">
        <v>31</v>
      </c>
      <c r="T129" t="s">
        <v>52</v>
      </c>
    </row>
    <row r="130" spans="1:20" x14ac:dyDescent="0.35">
      <c r="A130" t="s">
        <v>498</v>
      </c>
      <c r="B130" t="s">
        <v>364</v>
      </c>
      <c r="C130" t="s">
        <v>494</v>
      </c>
      <c r="D130" t="s">
        <v>499</v>
      </c>
      <c r="E130" t="s">
        <v>37</v>
      </c>
      <c r="F130">
        <v>22</v>
      </c>
      <c r="G130" t="s">
        <v>24</v>
      </c>
      <c r="H130" t="s">
        <v>25</v>
      </c>
      <c r="I130" t="s">
        <v>26</v>
      </c>
      <c r="J130" t="s">
        <v>78</v>
      </c>
      <c r="K130" t="s">
        <v>79</v>
      </c>
      <c r="L130" t="s">
        <v>80</v>
      </c>
      <c r="M130">
        <v>4</v>
      </c>
      <c r="N130">
        <v>1800</v>
      </c>
      <c r="O130">
        <v>20</v>
      </c>
      <c r="P130">
        <v>5760</v>
      </c>
      <c r="Q130">
        <v>1021.76</v>
      </c>
      <c r="R130" t="s">
        <v>50</v>
      </c>
      <c r="S130" t="s">
        <v>51</v>
      </c>
      <c r="T130" t="s">
        <v>60</v>
      </c>
    </row>
    <row r="131" spans="1:20" x14ac:dyDescent="0.35">
      <c r="A131" t="s">
        <v>500</v>
      </c>
      <c r="B131" t="s">
        <v>501</v>
      </c>
      <c r="C131" t="s">
        <v>274</v>
      </c>
      <c r="D131" t="s">
        <v>502</v>
      </c>
      <c r="E131" t="s">
        <v>37</v>
      </c>
      <c r="F131">
        <v>42</v>
      </c>
      <c r="G131" t="s">
        <v>126</v>
      </c>
      <c r="H131" t="s">
        <v>127</v>
      </c>
      <c r="I131" t="s">
        <v>88</v>
      </c>
      <c r="J131" t="s">
        <v>78</v>
      </c>
      <c r="K131" t="s">
        <v>79</v>
      </c>
      <c r="L131" t="s">
        <v>156</v>
      </c>
      <c r="M131">
        <v>3</v>
      </c>
      <c r="N131">
        <v>800</v>
      </c>
      <c r="O131">
        <v>15</v>
      </c>
      <c r="P131">
        <v>2040</v>
      </c>
      <c r="Q131">
        <v>359.33</v>
      </c>
      <c r="R131" t="s">
        <v>50</v>
      </c>
      <c r="S131" t="s">
        <v>51</v>
      </c>
      <c r="T131" t="s">
        <v>93</v>
      </c>
    </row>
    <row r="132" spans="1:20" x14ac:dyDescent="0.35">
      <c r="A132" t="s">
        <v>503</v>
      </c>
      <c r="B132" t="s">
        <v>504</v>
      </c>
      <c r="C132" t="s">
        <v>505</v>
      </c>
      <c r="D132" t="s">
        <v>56</v>
      </c>
      <c r="E132" t="s">
        <v>23</v>
      </c>
      <c r="F132">
        <v>58</v>
      </c>
      <c r="G132" t="s">
        <v>57</v>
      </c>
      <c r="H132" t="s">
        <v>57</v>
      </c>
      <c r="I132" t="s">
        <v>58</v>
      </c>
      <c r="J132" t="s">
        <v>27</v>
      </c>
      <c r="K132" t="s">
        <v>28</v>
      </c>
      <c r="L132" t="s">
        <v>73</v>
      </c>
      <c r="M132">
        <v>1</v>
      </c>
      <c r="N132">
        <v>25000</v>
      </c>
      <c r="O132">
        <v>10</v>
      </c>
      <c r="P132">
        <v>22500</v>
      </c>
      <c r="Q132">
        <v>2898.33</v>
      </c>
      <c r="R132" t="s">
        <v>59</v>
      </c>
      <c r="S132" t="s">
        <v>51</v>
      </c>
      <c r="T132" t="s">
        <v>52</v>
      </c>
    </row>
    <row r="133" spans="1:20" x14ac:dyDescent="0.35">
      <c r="A133" t="s">
        <v>506</v>
      </c>
      <c r="B133" t="s">
        <v>507</v>
      </c>
      <c r="C133" t="s">
        <v>508</v>
      </c>
      <c r="D133" t="s">
        <v>305</v>
      </c>
      <c r="E133" t="s">
        <v>23</v>
      </c>
      <c r="F133">
        <v>24</v>
      </c>
      <c r="G133" t="s">
        <v>38</v>
      </c>
      <c r="H133" t="s">
        <v>39</v>
      </c>
      <c r="I133" t="s">
        <v>26</v>
      </c>
      <c r="J133" t="s">
        <v>27</v>
      </c>
      <c r="K133" t="s">
        <v>28</v>
      </c>
      <c r="L133" t="s">
        <v>29</v>
      </c>
      <c r="M133">
        <v>5</v>
      </c>
      <c r="N133">
        <v>12000</v>
      </c>
      <c r="O133">
        <v>20</v>
      </c>
      <c r="P133">
        <v>48000</v>
      </c>
      <c r="Q133">
        <v>12490.08</v>
      </c>
      <c r="R133" t="s">
        <v>81</v>
      </c>
      <c r="S133" t="s">
        <v>92</v>
      </c>
      <c r="T133" t="s">
        <v>93</v>
      </c>
    </row>
    <row r="134" spans="1:20" x14ac:dyDescent="0.35">
      <c r="A134" t="s">
        <v>509</v>
      </c>
      <c r="B134" t="s">
        <v>510</v>
      </c>
      <c r="C134" t="s">
        <v>96</v>
      </c>
      <c r="D134" t="s">
        <v>511</v>
      </c>
      <c r="E134" t="s">
        <v>37</v>
      </c>
      <c r="F134">
        <v>37</v>
      </c>
      <c r="G134" t="s">
        <v>98</v>
      </c>
      <c r="H134" t="s">
        <v>99</v>
      </c>
      <c r="I134" t="s">
        <v>100</v>
      </c>
      <c r="J134" t="s">
        <v>89</v>
      </c>
      <c r="K134" t="s">
        <v>90</v>
      </c>
      <c r="L134" t="s">
        <v>242</v>
      </c>
      <c r="M134">
        <v>4</v>
      </c>
      <c r="N134">
        <v>6000</v>
      </c>
      <c r="O134">
        <v>10</v>
      </c>
      <c r="P134">
        <v>21600</v>
      </c>
      <c r="Q134">
        <v>3080.43</v>
      </c>
      <c r="R134" t="s">
        <v>41</v>
      </c>
      <c r="S134" t="s">
        <v>51</v>
      </c>
      <c r="T134" t="s">
        <v>93</v>
      </c>
    </row>
    <row r="135" spans="1:20" x14ac:dyDescent="0.35">
      <c r="A135" t="s">
        <v>512</v>
      </c>
      <c r="B135" t="s">
        <v>461</v>
      </c>
      <c r="C135" t="s">
        <v>513</v>
      </c>
      <c r="D135" t="s">
        <v>514</v>
      </c>
      <c r="E135" t="s">
        <v>37</v>
      </c>
      <c r="F135">
        <v>58</v>
      </c>
      <c r="G135" t="s">
        <v>86</v>
      </c>
      <c r="H135" t="s">
        <v>87</v>
      </c>
      <c r="I135" t="s">
        <v>88</v>
      </c>
      <c r="J135" t="s">
        <v>47</v>
      </c>
      <c r="K135" t="s">
        <v>48</v>
      </c>
      <c r="L135" t="s">
        <v>49</v>
      </c>
      <c r="M135">
        <v>2</v>
      </c>
      <c r="N135">
        <v>150</v>
      </c>
      <c r="O135">
        <v>0</v>
      </c>
      <c r="P135">
        <v>300</v>
      </c>
      <c r="Q135">
        <v>78.599999999999994</v>
      </c>
      <c r="R135" t="s">
        <v>59</v>
      </c>
      <c r="S135" t="s">
        <v>51</v>
      </c>
      <c r="T135" t="s">
        <v>60</v>
      </c>
    </row>
    <row r="136" spans="1:20" x14ac:dyDescent="0.35">
      <c r="A136" t="s">
        <v>515</v>
      </c>
      <c r="B136" t="s">
        <v>516</v>
      </c>
      <c r="C136" t="s">
        <v>517</v>
      </c>
      <c r="D136" t="s">
        <v>285</v>
      </c>
      <c r="E136" t="s">
        <v>37</v>
      </c>
      <c r="F136">
        <v>42</v>
      </c>
      <c r="G136" t="s">
        <v>46</v>
      </c>
      <c r="H136" t="s">
        <v>25</v>
      </c>
      <c r="I136" t="s">
        <v>26</v>
      </c>
      <c r="J136" t="s">
        <v>89</v>
      </c>
      <c r="K136" t="s">
        <v>90</v>
      </c>
      <c r="L136" t="s">
        <v>242</v>
      </c>
      <c r="M136">
        <v>2</v>
      </c>
      <c r="N136">
        <v>6000</v>
      </c>
      <c r="O136">
        <v>0</v>
      </c>
      <c r="P136">
        <v>12000</v>
      </c>
      <c r="Q136">
        <v>2647.04</v>
      </c>
      <c r="R136" t="s">
        <v>81</v>
      </c>
      <c r="S136" t="s">
        <v>92</v>
      </c>
      <c r="T136" t="s">
        <v>65</v>
      </c>
    </row>
    <row r="137" spans="1:20" x14ac:dyDescent="0.35">
      <c r="A137" t="s">
        <v>518</v>
      </c>
      <c r="B137" t="s">
        <v>519</v>
      </c>
      <c r="C137" t="s">
        <v>44</v>
      </c>
      <c r="D137" t="s">
        <v>344</v>
      </c>
      <c r="E137" t="s">
        <v>37</v>
      </c>
      <c r="F137">
        <v>58</v>
      </c>
      <c r="G137" t="s">
        <v>38</v>
      </c>
      <c r="H137" t="s">
        <v>39</v>
      </c>
      <c r="I137" t="s">
        <v>26</v>
      </c>
      <c r="J137" t="s">
        <v>89</v>
      </c>
      <c r="K137" t="s">
        <v>90</v>
      </c>
      <c r="L137" t="s">
        <v>242</v>
      </c>
      <c r="M137">
        <v>4</v>
      </c>
      <c r="N137">
        <v>6000</v>
      </c>
      <c r="O137">
        <v>0</v>
      </c>
      <c r="P137">
        <v>24000</v>
      </c>
      <c r="Q137">
        <v>5302.83</v>
      </c>
      <c r="R137" t="s">
        <v>41</v>
      </c>
      <c r="S137" t="s">
        <v>51</v>
      </c>
      <c r="T137" t="s">
        <v>117</v>
      </c>
    </row>
    <row r="138" spans="1:20" x14ac:dyDescent="0.35">
      <c r="A138" t="s">
        <v>520</v>
      </c>
      <c r="B138" t="s">
        <v>521</v>
      </c>
      <c r="C138" t="s">
        <v>522</v>
      </c>
      <c r="D138" t="s">
        <v>523</v>
      </c>
      <c r="E138" t="s">
        <v>23</v>
      </c>
      <c r="F138">
        <v>27</v>
      </c>
      <c r="G138" t="s">
        <v>98</v>
      </c>
      <c r="H138" t="s">
        <v>99</v>
      </c>
      <c r="I138" t="s">
        <v>100</v>
      </c>
      <c r="J138" t="s">
        <v>47</v>
      </c>
      <c r="K138" t="s">
        <v>48</v>
      </c>
      <c r="L138" t="s">
        <v>116</v>
      </c>
      <c r="M138">
        <v>1</v>
      </c>
      <c r="N138">
        <v>120</v>
      </c>
      <c r="O138">
        <v>10</v>
      </c>
      <c r="P138">
        <v>108</v>
      </c>
      <c r="Q138">
        <v>13.9</v>
      </c>
      <c r="R138" t="s">
        <v>59</v>
      </c>
      <c r="S138" t="s">
        <v>51</v>
      </c>
      <c r="T138" t="s">
        <v>60</v>
      </c>
    </row>
    <row r="139" spans="1:20" x14ac:dyDescent="0.35">
      <c r="A139" t="s">
        <v>524</v>
      </c>
      <c r="B139" t="s">
        <v>525</v>
      </c>
      <c r="C139" t="s">
        <v>526</v>
      </c>
      <c r="D139" t="s">
        <v>527</v>
      </c>
      <c r="E139" t="s">
        <v>23</v>
      </c>
      <c r="F139">
        <v>44</v>
      </c>
      <c r="G139" t="s">
        <v>86</v>
      </c>
      <c r="H139" t="s">
        <v>87</v>
      </c>
      <c r="I139" t="s">
        <v>88</v>
      </c>
      <c r="J139" t="s">
        <v>78</v>
      </c>
      <c r="K139" t="s">
        <v>79</v>
      </c>
      <c r="L139" t="s">
        <v>101</v>
      </c>
      <c r="M139">
        <v>1</v>
      </c>
      <c r="N139">
        <v>3500</v>
      </c>
      <c r="O139">
        <v>15</v>
      </c>
      <c r="P139">
        <v>2975</v>
      </c>
      <c r="Q139">
        <v>380.63</v>
      </c>
      <c r="R139" t="s">
        <v>50</v>
      </c>
      <c r="S139" t="s">
        <v>92</v>
      </c>
      <c r="T139" t="s">
        <v>52</v>
      </c>
    </row>
    <row r="140" spans="1:20" x14ac:dyDescent="0.35">
      <c r="A140" t="s">
        <v>528</v>
      </c>
      <c r="B140" t="s">
        <v>529</v>
      </c>
      <c r="C140" t="s">
        <v>530</v>
      </c>
      <c r="D140" t="s">
        <v>278</v>
      </c>
      <c r="E140" t="s">
        <v>37</v>
      </c>
      <c r="F140">
        <v>51</v>
      </c>
      <c r="G140" t="s">
        <v>86</v>
      </c>
      <c r="H140" t="s">
        <v>87</v>
      </c>
      <c r="I140" t="s">
        <v>88</v>
      </c>
      <c r="J140" t="s">
        <v>89</v>
      </c>
      <c r="K140" t="s">
        <v>90</v>
      </c>
      <c r="L140" t="s">
        <v>242</v>
      </c>
      <c r="M140">
        <v>1</v>
      </c>
      <c r="N140">
        <v>6000</v>
      </c>
      <c r="O140">
        <v>5</v>
      </c>
      <c r="P140">
        <v>5700</v>
      </c>
      <c r="Q140">
        <v>1018.88</v>
      </c>
      <c r="R140" t="s">
        <v>50</v>
      </c>
      <c r="S140" t="s">
        <v>31</v>
      </c>
      <c r="T140" t="s">
        <v>65</v>
      </c>
    </row>
    <row r="141" spans="1:20" x14ac:dyDescent="0.35">
      <c r="A141" t="s">
        <v>531</v>
      </c>
      <c r="B141" t="s">
        <v>532</v>
      </c>
      <c r="C141" t="s">
        <v>357</v>
      </c>
      <c r="D141" t="s">
        <v>238</v>
      </c>
      <c r="E141" t="s">
        <v>23</v>
      </c>
      <c r="F141">
        <v>34</v>
      </c>
      <c r="G141" t="s">
        <v>86</v>
      </c>
      <c r="H141" t="s">
        <v>87</v>
      </c>
      <c r="I141" t="s">
        <v>88</v>
      </c>
      <c r="J141" t="s">
        <v>78</v>
      </c>
      <c r="K141" t="s">
        <v>79</v>
      </c>
      <c r="L141" t="s">
        <v>101</v>
      </c>
      <c r="M141">
        <v>4</v>
      </c>
      <c r="N141">
        <v>3500</v>
      </c>
      <c r="O141">
        <v>20</v>
      </c>
      <c r="P141">
        <v>11200</v>
      </c>
      <c r="Q141">
        <v>2583.48</v>
      </c>
      <c r="R141" t="s">
        <v>41</v>
      </c>
      <c r="S141" t="s">
        <v>51</v>
      </c>
      <c r="T141" t="s">
        <v>65</v>
      </c>
    </row>
    <row r="142" spans="1:20" x14ac:dyDescent="0.35">
      <c r="A142" t="s">
        <v>533</v>
      </c>
      <c r="B142" t="s">
        <v>217</v>
      </c>
      <c r="C142" t="s">
        <v>534</v>
      </c>
      <c r="D142" t="s">
        <v>275</v>
      </c>
      <c r="E142" t="s">
        <v>37</v>
      </c>
      <c r="F142">
        <v>47</v>
      </c>
      <c r="G142" t="s">
        <v>38</v>
      </c>
      <c r="H142" t="s">
        <v>39</v>
      </c>
      <c r="I142" t="s">
        <v>26</v>
      </c>
      <c r="J142" t="s">
        <v>27</v>
      </c>
      <c r="K142" t="s">
        <v>28</v>
      </c>
      <c r="L142" t="s">
        <v>140</v>
      </c>
      <c r="M142">
        <v>3</v>
      </c>
      <c r="N142">
        <v>65000</v>
      </c>
      <c r="O142">
        <v>15</v>
      </c>
      <c r="P142">
        <v>165750</v>
      </c>
      <c r="Q142">
        <v>30588.31</v>
      </c>
      <c r="R142" t="s">
        <v>41</v>
      </c>
      <c r="S142" t="s">
        <v>51</v>
      </c>
      <c r="T142" t="s">
        <v>65</v>
      </c>
    </row>
    <row r="143" spans="1:20" x14ac:dyDescent="0.35">
      <c r="A143" t="s">
        <v>535</v>
      </c>
      <c r="B143" t="s">
        <v>54</v>
      </c>
      <c r="C143" t="s">
        <v>167</v>
      </c>
      <c r="D143" t="s">
        <v>536</v>
      </c>
      <c r="E143" t="s">
        <v>37</v>
      </c>
      <c r="F143">
        <v>42</v>
      </c>
      <c r="G143" t="s">
        <v>114</v>
      </c>
      <c r="H143" t="s">
        <v>115</v>
      </c>
      <c r="I143" t="s">
        <v>88</v>
      </c>
      <c r="J143" t="s">
        <v>27</v>
      </c>
      <c r="K143" t="s">
        <v>28</v>
      </c>
      <c r="L143" t="s">
        <v>29</v>
      </c>
      <c r="M143">
        <v>4</v>
      </c>
      <c r="N143">
        <v>12000</v>
      </c>
      <c r="O143">
        <v>15</v>
      </c>
      <c r="P143">
        <v>40800</v>
      </c>
      <c r="Q143">
        <v>6245.5</v>
      </c>
      <c r="R143" t="s">
        <v>50</v>
      </c>
      <c r="S143" t="s">
        <v>51</v>
      </c>
      <c r="T143" t="s">
        <v>65</v>
      </c>
    </row>
    <row r="144" spans="1:20" x14ac:dyDescent="0.35">
      <c r="A144" t="s">
        <v>537</v>
      </c>
      <c r="B144" t="s">
        <v>538</v>
      </c>
      <c r="C144" t="s">
        <v>539</v>
      </c>
      <c r="D144" t="s">
        <v>175</v>
      </c>
      <c r="E144" t="s">
        <v>37</v>
      </c>
      <c r="F144">
        <v>58</v>
      </c>
      <c r="G144" t="s">
        <v>57</v>
      </c>
      <c r="H144" t="s">
        <v>57</v>
      </c>
      <c r="I144" t="s">
        <v>58</v>
      </c>
      <c r="J144" t="s">
        <v>27</v>
      </c>
      <c r="K144" t="s">
        <v>28</v>
      </c>
      <c r="L144" t="s">
        <v>140</v>
      </c>
      <c r="M144">
        <v>2</v>
      </c>
      <c r="N144">
        <v>65000</v>
      </c>
      <c r="O144">
        <v>0</v>
      </c>
      <c r="P144">
        <v>130000</v>
      </c>
      <c r="Q144">
        <v>17868.13</v>
      </c>
      <c r="R144" t="s">
        <v>81</v>
      </c>
      <c r="S144" t="s">
        <v>51</v>
      </c>
      <c r="T144" t="s">
        <v>117</v>
      </c>
    </row>
    <row r="145" spans="1:20" x14ac:dyDescent="0.35">
      <c r="A145" t="s">
        <v>540</v>
      </c>
      <c r="B145" t="s">
        <v>541</v>
      </c>
      <c r="C145" t="s">
        <v>542</v>
      </c>
      <c r="D145" t="s">
        <v>543</v>
      </c>
      <c r="E145" t="s">
        <v>23</v>
      </c>
      <c r="F145">
        <v>27</v>
      </c>
      <c r="G145" t="s">
        <v>24</v>
      </c>
      <c r="H145" t="s">
        <v>25</v>
      </c>
      <c r="I145" t="s">
        <v>26</v>
      </c>
      <c r="J145" t="s">
        <v>27</v>
      </c>
      <c r="K145" t="s">
        <v>28</v>
      </c>
      <c r="L145" t="s">
        <v>140</v>
      </c>
      <c r="M145">
        <v>2</v>
      </c>
      <c r="N145">
        <v>65000</v>
      </c>
      <c r="O145">
        <v>10</v>
      </c>
      <c r="P145">
        <v>117000</v>
      </c>
      <c r="Q145">
        <v>10978.6</v>
      </c>
      <c r="R145" t="s">
        <v>41</v>
      </c>
      <c r="S145" t="s">
        <v>31</v>
      </c>
      <c r="T145" t="s">
        <v>60</v>
      </c>
    </row>
    <row r="146" spans="1:20" x14ac:dyDescent="0.35">
      <c r="A146" t="s">
        <v>544</v>
      </c>
      <c r="B146" t="s">
        <v>545</v>
      </c>
      <c r="C146" t="s">
        <v>388</v>
      </c>
      <c r="D146" t="s">
        <v>546</v>
      </c>
      <c r="E146" t="s">
        <v>23</v>
      </c>
      <c r="F146">
        <v>55</v>
      </c>
      <c r="G146" t="s">
        <v>86</v>
      </c>
      <c r="H146" t="s">
        <v>87</v>
      </c>
      <c r="I146" t="s">
        <v>88</v>
      </c>
      <c r="J146" t="s">
        <v>78</v>
      </c>
      <c r="K146" t="s">
        <v>79</v>
      </c>
      <c r="L146" t="s">
        <v>101</v>
      </c>
      <c r="M146">
        <v>5</v>
      </c>
      <c r="N146">
        <v>3500</v>
      </c>
      <c r="O146">
        <v>10</v>
      </c>
      <c r="P146">
        <v>15750</v>
      </c>
      <c r="Q146">
        <v>2526.29</v>
      </c>
      <c r="R146" t="s">
        <v>50</v>
      </c>
      <c r="S146" t="s">
        <v>51</v>
      </c>
      <c r="T146" t="s">
        <v>65</v>
      </c>
    </row>
    <row r="147" spans="1:20" x14ac:dyDescent="0.35">
      <c r="A147" t="s">
        <v>547</v>
      </c>
      <c r="B147" t="s">
        <v>548</v>
      </c>
      <c r="C147" t="s">
        <v>312</v>
      </c>
      <c r="D147" t="s">
        <v>430</v>
      </c>
      <c r="E147" t="s">
        <v>23</v>
      </c>
      <c r="F147">
        <v>48</v>
      </c>
      <c r="G147" t="s">
        <v>114</v>
      </c>
      <c r="H147" t="s">
        <v>115</v>
      </c>
      <c r="I147" t="s">
        <v>88</v>
      </c>
      <c r="J147" t="s">
        <v>78</v>
      </c>
      <c r="K147" t="s">
        <v>79</v>
      </c>
      <c r="L147" t="s">
        <v>156</v>
      </c>
      <c r="M147">
        <v>1</v>
      </c>
      <c r="N147">
        <v>800</v>
      </c>
      <c r="O147">
        <v>5</v>
      </c>
      <c r="P147">
        <v>760</v>
      </c>
      <c r="Q147">
        <v>156.13</v>
      </c>
      <c r="R147" t="s">
        <v>41</v>
      </c>
      <c r="S147" t="s">
        <v>31</v>
      </c>
      <c r="T147" t="s">
        <v>32</v>
      </c>
    </row>
    <row r="148" spans="1:20" x14ac:dyDescent="0.35">
      <c r="A148" t="s">
        <v>549</v>
      </c>
      <c r="B148" t="s">
        <v>550</v>
      </c>
      <c r="C148" t="s">
        <v>343</v>
      </c>
      <c r="D148" t="s">
        <v>418</v>
      </c>
      <c r="E148" t="s">
        <v>23</v>
      </c>
      <c r="F148">
        <v>60</v>
      </c>
      <c r="G148" t="s">
        <v>98</v>
      </c>
      <c r="H148" t="s">
        <v>99</v>
      </c>
      <c r="I148" t="s">
        <v>100</v>
      </c>
      <c r="J148" t="s">
        <v>89</v>
      </c>
      <c r="K148" t="s">
        <v>90</v>
      </c>
      <c r="L148" t="s">
        <v>91</v>
      </c>
      <c r="M148">
        <v>1</v>
      </c>
      <c r="N148">
        <v>9000</v>
      </c>
      <c r="O148">
        <v>10</v>
      </c>
      <c r="P148">
        <v>8100</v>
      </c>
      <c r="Q148">
        <v>743.42</v>
      </c>
      <c r="R148" t="s">
        <v>30</v>
      </c>
      <c r="S148" t="s">
        <v>92</v>
      </c>
      <c r="T148" t="s">
        <v>93</v>
      </c>
    </row>
    <row r="149" spans="1:20" x14ac:dyDescent="0.35">
      <c r="A149" t="s">
        <v>551</v>
      </c>
      <c r="B149" t="s">
        <v>552</v>
      </c>
      <c r="C149" t="s">
        <v>508</v>
      </c>
      <c r="D149" t="s">
        <v>344</v>
      </c>
      <c r="E149" t="s">
        <v>37</v>
      </c>
      <c r="F149">
        <v>26</v>
      </c>
      <c r="G149" t="s">
        <v>57</v>
      </c>
      <c r="H149" t="s">
        <v>57</v>
      </c>
      <c r="I149" t="s">
        <v>58</v>
      </c>
      <c r="J149" t="s">
        <v>47</v>
      </c>
      <c r="K149" t="s">
        <v>48</v>
      </c>
      <c r="L149" t="s">
        <v>49</v>
      </c>
      <c r="M149">
        <v>4</v>
      </c>
      <c r="N149">
        <v>150</v>
      </c>
      <c r="O149">
        <v>5</v>
      </c>
      <c r="P149">
        <v>570</v>
      </c>
      <c r="Q149">
        <v>150.75</v>
      </c>
      <c r="R149" t="s">
        <v>81</v>
      </c>
      <c r="S149" t="s">
        <v>51</v>
      </c>
      <c r="T149" t="s">
        <v>52</v>
      </c>
    </row>
    <row r="150" spans="1:20" x14ac:dyDescent="0.35">
      <c r="A150" t="s">
        <v>553</v>
      </c>
      <c r="B150" t="s">
        <v>455</v>
      </c>
      <c r="C150" t="s">
        <v>554</v>
      </c>
      <c r="D150" t="s">
        <v>555</v>
      </c>
      <c r="E150" t="s">
        <v>23</v>
      </c>
      <c r="F150">
        <v>59</v>
      </c>
      <c r="G150" t="s">
        <v>38</v>
      </c>
      <c r="H150" t="s">
        <v>39</v>
      </c>
      <c r="I150" t="s">
        <v>26</v>
      </c>
      <c r="J150" t="s">
        <v>47</v>
      </c>
      <c r="K150" t="s">
        <v>48</v>
      </c>
      <c r="L150" t="s">
        <v>49</v>
      </c>
      <c r="M150">
        <v>1</v>
      </c>
      <c r="N150">
        <v>150</v>
      </c>
      <c r="O150">
        <v>10</v>
      </c>
      <c r="P150">
        <v>135</v>
      </c>
      <c r="Q150">
        <v>32.450000000000003</v>
      </c>
      <c r="R150" t="s">
        <v>50</v>
      </c>
      <c r="S150" t="s">
        <v>51</v>
      </c>
      <c r="T150" t="s">
        <v>65</v>
      </c>
    </row>
    <row r="151" spans="1:20" x14ac:dyDescent="0.35">
      <c r="A151" t="s">
        <v>556</v>
      </c>
      <c r="B151" t="s">
        <v>557</v>
      </c>
      <c r="C151" t="s">
        <v>505</v>
      </c>
      <c r="D151" t="s">
        <v>468</v>
      </c>
      <c r="E151" t="s">
        <v>23</v>
      </c>
      <c r="F151">
        <v>60</v>
      </c>
      <c r="G151" t="s">
        <v>126</v>
      </c>
      <c r="H151" t="s">
        <v>127</v>
      </c>
      <c r="I151" t="s">
        <v>88</v>
      </c>
      <c r="J151" t="s">
        <v>27</v>
      </c>
      <c r="K151" t="s">
        <v>28</v>
      </c>
      <c r="L151" t="s">
        <v>40</v>
      </c>
      <c r="M151">
        <v>2</v>
      </c>
      <c r="N151">
        <v>2500</v>
      </c>
      <c r="O151">
        <v>20</v>
      </c>
      <c r="P151">
        <v>4000</v>
      </c>
      <c r="Q151">
        <v>719.25</v>
      </c>
      <c r="R151" t="s">
        <v>59</v>
      </c>
      <c r="S151" t="s">
        <v>51</v>
      </c>
      <c r="T151" t="s">
        <v>60</v>
      </c>
    </row>
    <row r="152" spans="1:20" x14ac:dyDescent="0.35">
      <c r="A152" t="s">
        <v>558</v>
      </c>
      <c r="B152" t="s">
        <v>559</v>
      </c>
      <c r="C152" t="s">
        <v>312</v>
      </c>
      <c r="D152" t="s">
        <v>560</v>
      </c>
      <c r="E152" t="s">
        <v>23</v>
      </c>
      <c r="F152">
        <v>27</v>
      </c>
      <c r="G152" t="s">
        <v>86</v>
      </c>
      <c r="H152" t="s">
        <v>87</v>
      </c>
      <c r="I152" t="s">
        <v>88</v>
      </c>
      <c r="J152" t="s">
        <v>78</v>
      </c>
      <c r="K152" t="s">
        <v>79</v>
      </c>
      <c r="L152" t="s">
        <v>156</v>
      </c>
      <c r="M152">
        <v>4</v>
      </c>
      <c r="N152">
        <v>800</v>
      </c>
      <c r="O152">
        <v>15</v>
      </c>
      <c r="P152">
        <v>2720</v>
      </c>
      <c r="Q152">
        <v>701.29</v>
      </c>
      <c r="R152" t="s">
        <v>59</v>
      </c>
      <c r="S152" t="s">
        <v>51</v>
      </c>
      <c r="T152" t="s">
        <v>32</v>
      </c>
    </row>
    <row r="153" spans="1:20" x14ac:dyDescent="0.35">
      <c r="A153" t="s">
        <v>561</v>
      </c>
      <c r="B153" t="s">
        <v>562</v>
      </c>
      <c r="C153" t="s">
        <v>76</v>
      </c>
      <c r="D153" t="s">
        <v>563</v>
      </c>
      <c r="E153" t="s">
        <v>23</v>
      </c>
      <c r="F153">
        <v>35</v>
      </c>
      <c r="G153" t="s">
        <v>57</v>
      </c>
      <c r="H153" t="s">
        <v>57</v>
      </c>
      <c r="I153" t="s">
        <v>58</v>
      </c>
      <c r="J153" t="s">
        <v>89</v>
      </c>
      <c r="K153" t="s">
        <v>90</v>
      </c>
      <c r="L153" t="s">
        <v>242</v>
      </c>
      <c r="M153">
        <v>4</v>
      </c>
      <c r="N153">
        <v>6000</v>
      </c>
      <c r="O153">
        <v>20</v>
      </c>
      <c r="P153">
        <v>19200</v>
      </c>
      <c r="Q153">
        <v>3883.23</v>
      </c>
      <c r="R153" t="s">
        <v>30</v>
      </c>
      <c r="S153" t="s">
        <v>92</v>
      </c>
      <c r="T153" t="s">
        <v>93</v>
      </c>
    </row>
    <row r="154" spans="1:20" x14ac:dyDescent="0.35">
      <c r="A154" t="s">
        <v>564</v>
      </c>
      <c r="B154" t="s">
        <v>467</v>
      </c>
      <c r="C154" t="s">
        <v>400</v>
      </c>
      <c r="D154" t="s">
        <v>222</v>
      </c>
      <c r="E154" t="s">
        <v>23</v>
      </c>
      <c r="F154">
        <v>44</v>
      </c>
      <c r="G154" t="s">
        <v>98</v>
      </c>
      <c r="H154" t="s">
        <v>99</v>
      </c>
      <c r="I154" t="s">
        <v>100</v>
      </c>
      <c r="J154" t="s">
        <v>89</v>
      </c>
      <c r="K154" t="s">
        <v>90</v>
      </c>
      <c r="L154" t="s">
        <v>91</v>
      </c>
      <c r="M154">
        <v>5</v>
      </c>
      <c r="N154">
        <v>9000</v>
      </c>
      <c r="O154">
        <v>20</v>
      </c>
      <c r="P154">
        <v>36000</v>
      </c>
      <c r="Q154">
        <v>4396.8500000000004</v>
      </c>
      <c r="R154" t="s">
        <v>41</v>
      </c>
      <c r="S154" t="s">
        <v>31</v>
      </c>
      <c r="T154" t="s">
        <v>52</v>
      </c>
    </row>
    <row r="155" spans="1:20" x14ac:dyDescent="0.35">
      <c r="A155" t="s">
        <v>565</v>
      </c>
      <c r="B155" t="s">
        <v>426</v>
      </c>
      <c r="C155" t="s">
        <v>392</v>
      </c>
      <c r="D155" t="s">
        <v>566</v>
      </c>
      <c r="E155" t="s">
        <v>23</v>
      </c>
      <c r="F155">
        <v>38</v>
      </c>
      <c r="G155" t="s">
        <v>86</v>
      </c>
      <c r="H155" t="s">
        <v>87</v>
      </c>
      <c r="I155" t="s">
        <v>88</v>
      </c>
      <c r="J155" t="s">
        <v>78</v>
      </c>
      <c r="K155" t="s">
        <v>79</v>
      </c>
      <c r="L155" t="s">
        <v>101</v>
      </c>
      <c r="M155">
        <v>1</v>
      </c>
      <c r="N155">
        <v>3500</v>
      </c>
      <c r="O155">
        <v>0</v>
      </c>
      <c r="P155">
        <v>3500</v>
      </c>
      <c r="Q155">
        <v>968.4</v>
      </c>
      <c r="R155" t="s">
        <v>30</v>
      </c>
      <c r="S155" t="s">
        <v>51</v>
      </c>
      <c r="T155" t="s">
        <v>52</v>
      </c>
    </row>
    <row r="156" spans="1:20" x14ac:dyDescent="0.35">
      <c r="A156" t="s">
        <v>567</v>
      </c>
      <c r="B156" t="s">
        <v>568</v>
      </c>
      <c r="C156" t="s">
        <v>139</v>
      </c>
      <c r="D156" t="s">
        <v>569</v>
      </c>
      <c r="E156" t="s">
        <v>23</v>
      </c>
      <c r="F156">
        <v>25</v>
      </c>
      <c r="G156" t="s">
        <v>114</v>
      </c>
      <c r="H156" t="s">
        <v>115</v>
      </c>
      <c r="I156" t="s">
        <v>88</v>
      </c>
      <c r="J156" t="s">
        <v>89</v>
      </c>
      <c r="K156" t="s">
        <v>90</v>
      </c>
      <c r="L156" t="s">
        <v>91</v>
      </c>
      <c r="M156">
        <v>2</v>
      </c>
      <c r="N156">
        <v>9000</v>
      </c>
      <c r="O156">
        <v>15</v>
      </c>
      <c r="P156">
        <v>15300</v>
      </c>
      <c r="Q156">
        <v>2962.96</v>
      </c>
      <c r="R156" t="s">
        <v>81</v>
      </c>
      <c r="S156" t="s">
        <v>51</v>
      </c>
      <c r="T156" t="s">
        <v>32</v>
      </c>
    </row>
    <row r="157" spans="1:20" x14ac:dyDescent="0.35">
      <c r="A157" t="s">
        <v>570</v>
      </c>
      <c r="B157" t="s">
        <v>323</v>
      </c>
      <c r="C157" t="s">
        <v>571</v>
      </c>
      <c r="D157" t="s">
        <v>278</v>
      </c>
      <c r="E157" t="s">
        <v>23</v>
      </c>
      <c r="F157">
        <v>59</v>
      </c>
      <c r="G157" t="s">
        <v>126</v>
      </c>
      <c r="H157" t="s">
        <v>127</v>
      </c>
      <c r="I157" t="s">
        <v>88</v>
      </c>
      <c r="J157" t="s">
        <v>89</v>
      </c>
      <c r="K157" t="s">
        <v>90</v>
      </c>
      <c r="L157" t="s">
        <v>128</v>
      </c>
      <c r="M157">
        <v>5</v>
      </c>
      <c r="N157">
        <v>7000</v>
      </c>
      <c r="O157">
        <v>5</v>
      </c>
      <c r="P157">
        <v>33250</v>
      </c>
      <c r="Q157">
        <v>6120.08</v>
      </c>
      <c r="R157" t="s">
        <v>81</v>
      </c>
      <c r="S157" t="s">
        <v>51</v>
      </c>
      <c r="T157" t="s">
        <v>65</v>
      </c>
    </row>
    <row r="158" spans="1:20" x14ac:dyDescent="0.35">
      <c r="A158" t="s">
        <v>572</v>
      </c>
      <c r="B158" t="s">
        <v>573</v>
      </c>
      <c r="C158" t="s">
        <v>373</v>
      </c>
      <c r="D158" t="s">
        <v>574</v>
      </c>
      <c r="E158" t="s">
        <v>23</v>
      </c>
      <c r="F158">
        <v>22</v>
      </c>
      <c r="G158" t="s">
        <v>38</v>
      </c>
      <c r="H158" t="s">
        <v>39</v>
      </c>
      <c r="I158" t="s">
        <v>26</v>
      </c>
      <c r="J158" t="s">
        <v>47</v>
      </c>
      <c r="K158" t="s">
        <v>48</v>
      </c>
      <c r="L158" t="s">
        <v>116</v>
      </c>
      <c r="M158">
        <v>2</v>
      </c>
      <c r="N158">
        <v>120</v>
      </c>
      <c r="O158">
        <v>5</v>
      </c>
      <c r="P158">
        <v>228</v>
      </c>
      <c r="Q158">
        <v>63.69</v>
      </c>
      <c r="R158" t="s">
        <v>81</v>
      </c>
      <c r="S158" t="s">
        <v>51</v>
      </c>
      <c r="T158" t="s">
        <v>65</v>
      </c>
    </row>
    <row r="159" spans="1:20" x14ac:dyDescent="0.35">
      <c r="A159" t="s">
        <v>575</v>
      </c>
      <c r="B159" t="s">
        <v>576</v>
      </c>
      <c r="C159" t="s">
        <v>256</v>
      </c>
      <c r="D159" t="s">
        <v>577</v>
      </c>
      <c r="E159" t="s">
        <v>23</v>
      </c>
      <c r="F159">
        <v>31</v>
      </c>
      <c r="G159" t="s">
        <v>38</v>
      </c>
      <c r="H159" t="s">
        <v>39</v>
      </c>
      <c r="I159" t="s">
        <v>26</v>
      </c>
      <c r="J159" t="s">
        <v>78</v>
      </c>
      <c r="K159" t="s">
        <v>79</v>
      </c>
      <c r="L159" t="s">
        <v>80</v>
      </c>
      <c r="M159">
        <v>4</v>
      </c>
      <c r="N159">
        <v>1800</v>
      </c>
      <c r="O159">
        <v>20</v>
      </c>
      <c r="P159">
        <v>5760</v>
      </c>
      <c r="Q159">
        <v>1145.42</v>
      </c>
      <c r="R159" t="s">
        <v>81</v>
      </c>
      <c r="S159" t="s">
        <v>31</v>
      </c>
      <c r="T159" t="s">
        <v>117</v>
      </c>
    </row>
    <row r="160" spans="1:20" x14ac:dyDescent="0.35">
      <c r="A160" t="s">
        <v>578</v>
      </c>
      <c r="B160" t="s">
        <v>579</v>
      </c>
      <c r="C160" t="s">
        <v>208</v>
      </c>
      <c r="D160" t="s">
        <v>546</v>
      </c>
      <c r="E160" t="s">
        <v>23</v>
      </c>
      <c r="F160">
        <v>30</v>
      </c>
      <c r="G160" t="s">
        <v>46</v>
      </c>
      <c r="H160" t="s">
        <v>25</v>
      </c>
      <c r="I160" t="s">
        <v>26</v>
      </c>
      <c r="J160" t="s">
        <v>47</v>
      </c>
      <c r="K160" t="s">
        <v>48</v>
      </c>
      <c r="L160" t="s">
        <v>116</v>
      </c>
      <c r="M160">
        <v>4</v>
      </c>
      <c r="N160">
        <v>120</v>
      </c>
      <c r="O160">
        <v>10</v>
      </c>
      <c r="P160">
        <v>432</v>
      </c>
      <c r="Q160">
        <v>58.78</v>
      </c>
      <c r="R160" t="s">
        <v>30</v>
      </c>
      <c r="S160" t="s">
        <v>51</v>
      </c>
      <c r="T160" t="s">
        <v>32</v>
      </c>
    </row>
    <row r="161" spans="1:20" x14ac:dyDescent="0.35">
      <c r="A161" t="s">
        <v>580</v>
      </c>
      <c r="B161" t="s">
        <v>407</v>
      </c>
      <c r="C161" t="s">
        <v>474</v>
      </c>
      <c r="D161" t="s">
        <v>581</v>
      </c>
      <c r="E161" t="s">
        <v>23</v>
      </c>
      <c r="F161">
        <v>24</v>
      </c>
      <c r="G161" t="s">
        <v>57</v>
      </c>
      <c r="H161" t="s">
        <v>57</v>
      </c>
      <c r="I161" t="s">
        <v>58</v>
      </c>
      <c r="J161" t="s">
        <v>78</v>
      </c>
      <c r="K161" t="s">
        <v>79</v>
      </c>
      <c r="L161" t="s">
        <v>156</v>
      </c>
      <c r="M161">
        <v>4</v>
      </c>
      <c r="N161">
        <v>800</v>
      </c>
      <c r="O161">
        <v>15</v>
      </c>
      <c r="P161">
        <v>2720</v>
      </c>
      <c r="Q161">
        <v>252.57</v>
      </c>
      <c r="R161" t="s">
        <v>59</v>
      </c>
      <c r="S161" t="s">
        <v>31</v>
      </c>
      <c r="T161" t="s">
        <v>93</v>
      </c>
    </row>
    <row r="162" spans="1:20" x14ac:dyDescent="0.35">
      <c r="A162" t="s">
        <v>582</v>
      </c>
      <c r="B162" t="s">
        <v>583</v>
      </c>
      <c r="C162" t="s">
        <v>337</v>
      </c>
      <c r="D162" t="s">
        <v>584</v>
      </c>
      <c r="E162" t="s">
        <v>23</v>
      </c>
      <c r="F162">
        <v>43</v>
      </c>
      <c r="G162" t="s">
        <v>46</v>
      </c>
      <c r="H162" t="s">
        <v>25</v>
      </c>
      <c r="I162" t="s">
        <v>26</v>
      </c>
      <c r="J162" t="s">
        <v>89</v>
      </c>
      <c r="K162" t="s">
        <v>90</v>
      </c>
      <c r="L162" t="s">
        <v>91</v>
      </c>
      <c r="M162">
        <v>4</v>
      </c>
      <c r="N162">
        <v>9000</v>
      </c>
      <c r="O162">
        <v>0</v>
      </c>
      <c r="P162">
        <v>36000</v>
      </c>
      <c r="Q162">
        <v>8713.14</v>
      </c>
      <c r="R162" t="s">
        <v>41</v>
      </c>
      <c r="S162" t="s">
        <v>92</v>
      </c>
      <c r="T162" t="s">
        <v>117</v>
      </c>
    </row>
    <row r="163" spans="1:20" x14ac:dyDescent="0.35">
      <c r="A163" t="s">
        <v>585</v>
      </c>
      <c r="B163" t="s">
        <v>586</v>
      </c>
      <c r="C163" t="s">
        <v>587</v>
      </c>
      <c r="D163" t="s">
        <v>305</v>
      </c>
      <c r="E163" t="s">
        <v>37</v>
      </c>
      <c r="F163">
        <v>44</v>
      </c>
      <c r="G163" t="s">
        <v>46</v>
      </c>
      <c r="H163" t="s">
        <v>25</v>
      </c>
      <c r="I163" t="s">
        <v>26</v>
      </c>
      <c r="J163" t="s">
        <v>78</v>
      </c>
      <c r="K163" t="s">
        <v>79</v>
      </c>
      <c r="L163" t="s">
        <v>156</v>
      </c>
      <c r="M163">
        <v>3</v>
      </c>
      <c r="N163">
        <v>800</v>
      </c>
      <c r="O163">
        <v>5</v>
      </c>
      <c r="P163">
        <v>2280</v>
      </c>
      <c r="Q163">
        <v>203.13</v>
      </c>
      <c r="R163" t="s">
        <v>50</v>
      </c>
      <c r="S163" t="s">
        <v>92</v>
      </c>
      <c r="T163" t="s">
        <v>52</v>
      </c>
    </row>
    <row r="164" spans="1:20" x14ac:dyDescent="0.35">
      <c r="A164" t="s">
        <v>588</v>
      </c>
      <c r="B164" t="s">
        <v>443</v>
      </c>
      <c r="C164" t="s">
        <v>392</v>
      </c>
      <c r="D164" t="s">
        <v>589</v>
      </c>
      <c r="E164" t="s">
        <v>37</v>
      </c>
      <c r="F164">
        <v>54</v>
      </c>
      <c r="G164" t="s">
        <v>24</v>
      </c>
      <c r="H164" t="s">
        <v>25</v>
      </c>
      <c r="I164" t="s">
        <v>26</v>
      </c>
      <c r="J164" t="s">
        <v>47</v>
      </c>
      <c r="K164" t="s">
        <v>48</v>
      </c>
      <c r="L164" t="s">
        <v>49</v>
      </c>
      <c r="M164">
        <v>2</v>
      </c>
      <c r="N164">
        <v>150</v>
      </c>
      <c r="O164">
        <v>20</v>
      </c>
      <c r="P164">
        <v>240</v>
      </c>
      <c r="Q164">
        <v>35.880000000000003</v>
      </c>
      <c r="R164" t="s">
        <v>81</v>
      </c>
      <c r="S164" t="s">
        <v>51</v>
      </c>
      <c r="T164" t="s">
        <v>60</v>
      </c>
    </row>
    <row r="165" spans="1:20" x14ac:dyDescent="0.35">
      <c r="A165" t="s">
        <v>590</v>
      </c>
      <c r="B165" t="s">
        <v>591</v>
      </c>
      <c r="C165" t="s">
        <v>436</v>
      </c>
      <c r="D165" t="s">
        <v>230</v>
      </c>
      <c r="E165" t="s">
        <v>23</v>
      </c>
      <c r="F165">
        <v>42</v>
      </c>
      <c r="G165" t="s">
        <v>46</v>
      </c>
      <c r="H165" t="s">
        <v>25</v>
      </c>
      <c r="I165" t="s">
        <v>26</v>
      </c>
      <c r="J165" t="s">
        <v>78</v>
      </c>
      <c r="K165" t="s">
        <v>79</v>
      </c>
      <c r="L165" t="s">
        <v>80</v>
      </c>
      <c r="M165">
        <v>5</v>
      </c>
      <c r="N165">
        <v>1800</v>
      </c>
      <c r="O165">
        <v>15</v>
      </c>
      <c r="P165">
        <v>7650</v>
      </c>
      <c r="Q165">
        <v>2000.19</v>
      </c>
      <c r="R165" t="s">
        <v>59</v>
      </c>
      <c r="S165" t="s">
        <v>51</v>
      </c>
      <c r="T165" t="s">
        <v>32</v>
      </c>
    </row>
    <row r="166" spans="1:20" x14ac:dyDescent="0.35">
      <c r="A166" t="s">
        <v>592</v>
      </c>
      <c r="B166" t="s">
        <v>593</v>
      </c>
      <c r="C166" t="s">
        <v>594</v>
      </c>
      <c r="D166" t="s">
        <v>595</v>
      </c>
      <c r="E166" t="s">
        <v>37</v>
      </c>
      <c r="F166">
        <v>39</v>
      </c>
      <c r="G166" t="s">
        <v>126</v>
      </c>
      <c r="H166" t="s">
        <v>127</v>
      </c>
      <c r="I166" t="s">
        <v>88</v>
      </c>
      <c r="J166" t="s">
        <v>47</v>
      </c>
      <c r="K166" t="s">
        <v>48</v>
      </c>
      <c r="L166" t="s">
        <v>215</v>
      </c>
      <c r="M166">
        <v>1</v>
      </c>
      <c r="N166">
        <v>450</v>
      </c>
      <c r="O166">
        <v>5</v>
      </c>
      <c r="P166">
        <v>427.5</v>
      </c>
      <c r="Q166">
        <v>90.55</v>
      </c>
      <c r="R166" t="s">
        <v>30</v>
      </c>
      <c r="S166" t="s">
        <v>51</v>
      </c>
      <c r="T166" t="s">
        <v>65</v>
      </c>
    </row>
    <row r="167" spans="1:20" x14ac:dyDescent="0.35">
      <c r="A167" t="s">
        <v>596</v>
      </c>
      <c r="B167" t="s">
        <v>597</v>
      </c>
      <c r="C167" t="s">
        <v>598</v>
      </c>
      <c r="D167" t="s">
        <v>151</v>
      </c>
      <c r="E167" t="s">
        <v>23</v>
      </c>
      <c r="F167">
        <v>22</v>
      </c>
      <c r="G167" t="s">
        <v>57</v>
      </c>
      <c r="H167" t="s">
        <v>57</v>
      </c>
      <c r="I167" t="s">
        <v>58</v>
      </c>
      <c r="J167" t="s">
        <v>47</v>
      </c>
      <c r="K167" t="s">
        <v>48</v>
      </c>
      <c r="L167" t="s">
        <v>215</v>
      </c>
      <c r="M167">
        <v>1</v>
      </c>
      <c r="N167">
        <v>450</v>
      </c>
      <c r="O167">
        <v>10</v>
      </c>
      <c r="P167">
        <v>405</v>
      </c>
      <c r="Q167">
        <v>95.41</v>
      </c>
      <c r="R167" t="s">
        <v>59</v>
      </c>
      <c r="S167" t="s">
        <v>31</v>
      </c>
      <c r="T167" t="s">
        <v>117</v>
      </c>
    </row>
    <row r="168" spans="1:20" x14ac:dyDescent="0.35">
      <c r="A168" t="s">
        <v>599</v>
      </c>
      <c r="B168" t="s">
        <v>600</v>
      </c>
      <c r="C168" t="s">
        <v>601</v>
      </c>
      <c r="D168" t="s">
        <v>602</v>
      </c>
      <c r="E168" t="s">
        <v>23</v>
      </c>
      <c r="F168">
        <v>55</v>
      </c>
      <c r="G168" t="s">
        <v>126</v>
      </c>
      <c r="H168" t="s">
        <v>127</v>
      </c>
      <c r="I168" t="s">
        <v>88</v>
      </c>
      <c r="J168" t="s">
        <v>27</v>
      </c>
      <c r="K168" t="s">
        <v>28</v>
      </c>
      <c r="L168" t="s">
        <v>73</v>
      </c>
      <c r="M168">
        <v>3</v>
      </c>
      <c r="N168">
        <v>25000</v>
      </c>
      <c r="O168">
        <v>0</v>
      </c>
      <c r="P168">
        <v>75000</v>
      </c>
      <c r="Q168">
        <v>19695.669999999998</v>
      </c>
      <c r="R168" t="s">
        <v>81</v>
      </c>
      <c r="S168" t="s">
        <v>31</v>
      </c>
      <c r="T168" t="s">
        <v>52</v>
      </c>
    </row>
    <row r="169" spans="1:20" x14ac:dyDescent="0.35">
      <c r="A169" t="s">
        <v>603</v>
      </c>
      <c r="B169" t="s">
        <v>604</v>
      </c>
      <c r="C169" t="s">
        <v>587</v>
      </c>
      <c r="D169" t="s">
        <v>418</v>
      </c>
      <c r="E169" t="s">
        <v>23</v>
      </c>
      <c r="F169">
        <v>47</v>
      </c>
      <c r="G169" t="s">
        <v>114</v>
      </c>
      <c r="H169" t="s">
        <v>115</v>
      </c>
      <c r="I169" t="s">
        <v>88</v>
      </c>
      <c r="J169" t="s">
        <v>27</v>
      </c>
      <c r="K169" t="s">
        <v>28</v>
      </c>
      <c r="L169" t="s">
        <v>140</v>
      </c>
      <c r="M169">
        <v>1</v>
      </c>
      <c r="N169">
        <v>65000</v>
      </c>
      <c r="O169">
        <v>5</v>
      </c>
      <c r="P169">
        <v>61750</v>
      </c>
      <c r="Q169">
        <v>10880.23</v>
      </c>
      <c r="R169" t="s">
        <v>41</v>
      </c>
      <c r="S169" t="s">
        <v>51</v>
      </c>
      <c r="T169" t="s">
        <v>117</v>
      </c>
    </row>
    <row r="170" spans="1:20" x14ac:dyDescent="0.35">
      <c r="A170" t="s">
        <v>605</v>
      </c>
      <c r="B170" t="s">
        <v>461</v>
      </c>
      <c r="C170" t="s">
        <v>606</v>
      </c>
      <c r="D170" t="s">
        <v>305</v>
      </c>
      <c r="E170" t="s">
        <v>37</v>
      </c>
      <c r="F170">
        <v>36</v>
      </c>
      <c r="G170" t="s">
        <v>24</v>
      </c>
      <c r="H170" t="s">
        <v>25</v>
      </c>
      <c r="I170" t="s">
        <v>26</v>
      </c>
      <c r="J170" t="s">
        <v>89</v>
      </c>
      <c r="K170" t="s">
        <v>90</v>
      </c>
      <c r="L170" t="s">
        <v>128</v>
      </c>
      <c r="M170">
        <v>5</v>
      </c>
      <c r="N170">
        <v>7000</v>
      </c>
      <c r="O170">
        <v>10</v>
      </c>
      <c r="P170">
        <v>31500</v>
      </c>
      <c r="Q170">
        <v>2797.38</v>
      </c>
      <c r="R170" t="s">
        <v>30</v>
      </c>
      <c r="S170" t="s">
        <v>51</v>
      </c>
      <c r="T170" t="s">
        <v>117</v>
      </c>
    </row>
    <row r="171" spans="1:20" x14ac:dyDescent="0.35">
      <c r="A171" t="s">
        <v>607</v>
      </c>
      <c r="B171" t="s">
        <v>583</v>
      </c>
      <c r="C171" t="s">
        <v>539</v>
      </c>
      <c r="D171" t="s">
        <v>424</v>
      </c>
      <c r="E171" t="s">
        <v>23</v>
      </c>
      <c r="F171">
        <v>25</v>
      </c>
      <c r="G171" t="s">
        <v>38</v>
      </c>
      <c r="H171" t="s">
        <v>39</v>
      </c>
      <c r="I171" t="s">
        <v>26</v>
      </c>
      <c r="J171" t="s">
        <v>47</v>
      </c>
      <c r="K171" t="s">
        <v>48</v>
      </c>
      <c r="L171" t="s">
        <v>116</v>
      </c>
      <c r="M171">
        <v>3</v>
      </c>
      <c r="N171">
        <v>120</v>
      </c>
      <c r="O171">
        <v>20</v>
      </c>
      <c r="P171">
        <v>288</v>
      </c>
      <c r="Q171">
        <v>63.66</v>
      </c>
      <c r="R171" t="s">
        <v>59</v>
      </c>
      <c r="S171" t="s">
        <v>92</v>
      </c>
      <c r="T171" t="s">
        <v>117</v>
      </c>
    </row>
    <row r="172" spans="1:20" x14ac:dyDescent="0.35">
      <c r="A172" t="s">
        <v>608</v>
      </c>
      <c r="B172" t="s">
        <v>467</v>
      </c>
      <c r="C172" t="s">
        <v>609</v>
      </c>
      <c r="D172" t="s">
        <v>421</v>
      </c>
      <c r="E172" t="s">
        <v>23</v>
      </c>
      <c r="F172">
        <v>42</v>
      </c>
      <c r="G172" t="s">
        <v>126</v>
      </c>
      <c r="H172" t="s">
        <v>127</v>
      </c>
      <c r="I172" t="s">
        <v>88</v>
      </c>
      <c r="J172" t="s">
        <v>78</v>
      </c>
      <c r="K172" t="s">
        <v>79</v>
      </c>
      <c r="L172" t="s">
        <v>80</v>
      </c>
      <c r="M172">
        <v>5</v>
      </c>
      <c r="N172">
        <v>1800</v>
      </c>
      <c r="O172">
        <v>20</v>
      </c>
      <c r="P172">
        <v>7200</v>
      </c>
      <c r="Q172">
        <v>1054.08</v>
      </c>
      <c r="R172" t="s">
        <v>81</v>
      </c>
      <c r="S172" t="s">
        <v>51</v>
      </c>
      <c r="T172" t="s">
        <v>65</v>
      </c>
    </row>
    <row r="173" spans="1:20" x14ac:dyDescent="0.35">
      <c r="A173" t="s">
        <v>610</v>
      </c>
      <c r="B173" t="s">
        <v>559</v>
      </c>
      <c r="C173" t="s">
        <v>76</v>
      </c>
      <c r="D173" t="s">
        <v>201</v>
      </c>
      <c r="E173" t="s">
        <v>37</v>
      </c>
      <c r="F173">
        <v>54</v>
      </c>
      <c r="G173" t="s">
        <v>57</v>
      </c>
      <c r="H173" t="s">
        <v>57</v>
      </c>
      <c r="I173" t="s">
        <v>58</v>
      </c>
      <c r="J173" t="s">
        <v>27</v>
      </c>
      <c r="K173" t="s">
        <v>28</v>
      </c>
      <c r="L173" t="s">
        <v>73</v>
      </c>
      <c r="M173">
        <v>5</v>
      </c>
      <c r="N173">
        <v>25000</v>
      </c>
      <c r="O173">
        <v>10</v>
      </c>
      <c r="P173">
        <v>112500</v>
      </c>
      <c r="Q173">
        <v>20570.150000000001</v>
      </c>
      <c r="R173" t="s">
        <v>81</v>
      </c>
      <c r="S173" t="s">
        <v>51</v>
      </c>
      <c r="T173" t="s">
        <v>117</v>
      </c>
    </row>
    <row r="174" spans="1:20" x14ac:dyDescent="0.35">
      <c r="A174" t="s">
        <v>611</v>
      </c>
      <c r="B174" t="s">
        <v>612</v>
      </c>
      <c r="C174" t="s">
        <v>376</v>
      </c>
      <c r="D174" t="s">
        <v>613</v>
      </c>
      <c r="E174" t="s">
        <v>23</v>
      </c>
      <c r="F174">
        <v>54</v>
      </c>
      <c r="G174" t="s">
        <v>24</v>
      </c>
      <c r="H174" t="s">
        <v>25</v>
      </c>
      <c r="I174" t="s">
        <v>26</v>
      </c>
      <c r="J174" t="s">
        <v>78</v>
      </c>
      <c r="K174" t="s">
        <v>79</v>
      </c>
      <c r="L174" t="s">
        <v>101</v>
      </c>
      <c r="M174">
        <v>4</v>
      </c>
      <c r="N174">
        <v>3500</v>
      </c>
      <c r="O174">
        <v>0</v>
      </c>
      <c r="P174">
        <v>14000</v>
      </c>
      <c r="Q174">
        <v>1412.99</v>
      </c>
      <c r="R174" t="s">
        <v>30</v>
      </c>
      <c r="S174" t="s">
        <v>51</v>
      </c>
      <c r="T174" t="s">
        <v>117</v>
      </c>
    </row>
    <row r="175" spans="1:20" x14ac:dyDescent="0.35">
      <c r="A175" t="s">
        <v>614</v>
      </c>
      <c r="B175" t="s">
        <v>615</v>
      </c>
      <c r="C175" t="s">
        <v>21</v>
      </c>
      <c r="D175" t="s">
        <v>241</v>
      </c>
      <c r="E175" t="s">
        <v>23</v>
      </c>
      <c r="F175">
        <v>53</v>
      </c>
      <c r="G175" t="s">
        <v>114</v>
      </c>
      <c r="H175" t="s">
        <v>115</v>
      </c>
      <c r="I175" t="s">
        <v>88</v>
      </c>
      <c r="J175" t="s">
        <v>78</v>
      </c>
      <c r="K175" t="s">
        <v>79</v>
      </c>
      <c r="L175" t="s">
        <v>156</v>
      </c>
      <c r="M175">
        <v>4</v>
      </c>
      <c r="N175">
        <v>800</v>
      </c>
      <c r="O175">
        <v>0</v>
      </c>
      <c r="P175">
        <v>3200</v>
      </c>
      <c r="Q175">
        <v>853.58</v>
      </c>
      <c r="R175" t="s">
        <v>50</v>
      </c>
      <c r="S175" t="s">
        <v>51</v>
      </c>
      <c r="T175" t="s">
        <v>52</v>
      </c>
    </row>
    <row r="176" spans="1:20" x14ac:dyDescent="0.35">
      <c r="A176" t="s">
        <v>616</v>
      </c>
      <c r="B176" t="s">
        <v>617</v>
      </c>
      <c r="C176" t="s">
        <v>225</v>
      </c>
      <c r="D176" t="s">
        <v>113</v>
      </c>
      <c r="E176" t="s">
        <v>37</v>
      </c>
      <c r="F176">
        <v>41</v>
      </c>
      <c r="G176" t="s">
        <v>114</v>
      </c>
      <c r="H176" t="s">
        <v>115</v>
      </c>
      <c r="I176" t="s">
        <v>88</v>
      </c>
      <c r="J176" t="s">
        <v>27</v>
      </c>
      <c r="K176" t="s">
        <v>28</v>
      </c>
      <c r="L176" t="s">
        <v>140</v>
      </c>
      <c r="M176">
        <v>4</v>
      </c>
      <c r="N176">
        <v>65000</v>
      </c>
      <c r="O176">
        <v>20</v>
      </c>
      <c r="P176">
        <v>208000</v>
      </c>
      <c r="Q176">
        <v>39059.279999999999</v>
      </c>
      <c r="R176" t="s">
        <v>50</v>
      </c>
      <c r="S176" t="s">
        <v>92</v>
      </c>
      <c r="T176" t="s">
        <v>60</v>
      </c>
    </row>
    <row r="177" spans="1:20" x14ac:dyDescent="0.35">
      <c r="A177" t="s">
        <v>618</v>
      </c>
      <c r="B177" t="s">
        <v>619</v>
      </c>
      <c r="C177" t="s">
        <v>620</v>
      </c>
      <c r="D177" t="s">
        <v>321</v>
      </c>
      <c r="E177" t="s">
        <v>37</v>
      </c>
      <c r="F177">
        <v>53</v>
      </c>
      <c r="G177" t="s">
        <v>57</v>
      </c>
      <c r="H177" t="s">
        <v>57</v>
      </c>
      <c r="I177" t="s">
        <v>58</v>
      </c>
      <c r="J177" t="s">
        <v>78</v>
      </c>
      <c r="K177" t="s">
        <v>79</v>
      </c>
      <c r="L177" t="s">
        <v>101</v>
      </c>
      <c r="M177">
        <v>4</v>
      </c>
      <c r="N177">
        <v>3500</v>
      </c>
      <c r="O177">
        <v>20</v>
      </c>
      <c r="P177">
        <v>11200</v>
      </c>
      <c r="Q177">
        <v>1256.81</v>
      </c>
      <c r="R177" t="s">
        <v>50</v>
      </c>
      <c r="S177" t="s">
        <v>92</v>
      </c>
      <c r="T177" t="s">
        <v>52</v>
      </c>
    </row>
    <row r="178" spans="1:20" x14ac:dyDescent="0.35">
      <c r="A178" t="s">
        <v>621</v>
      </c>
      <c r="B178" t="s">
        <v>622</v>
      </c>
      <c r="C178" t="s">
        <v>623</v>
      </c>
      <c r="D178" t="s">
        <v>328</v>
      </c>
      <c r="E178" t="s">
        <v>37</v>
      </c>
      <c r="F178">
        <v>40</v>
      </c>
      <c r="G178" t="s">
        <v>38</v>
      </c>
      <c r="H178" t="s">
        <v>39</v>
      </c>
      <c r="I178" t="s">
        <v>26</v>
      </c>
      <c r="J178" t="s">
        <v>78</v>
      </c>
      <c r="K178" t="s">
        <v>79</v>
      </c>
      <c r="L178" t="s">
        <v>80</v>
      </c>
      <c r="M178">
        <v>3</v>
      </c>
      <c r="N178">
        <v>1800</v>
      </c>
      <c r="O178">
        <v>5</v>
      </c>
      <c r="P178">
        <v>5130</v>
      </c>
      <c r="Q178">
        <v>1388.72</v>
      </c>
      <c r="R178" t="s">
        <v>30</v>
      </c>
      <c r="S178" t="s">
        <v>51</v>
      </c>
      <c r="T178" t="s">
        <v>32</v>
      </c>
    </row>
    <row r="179" spans="1:20" x14ac:dyDescent="0.35">
      <c r="A179" t="s">
        <v>624</v>
      </c>
      <c r="B179" t="s">
        <v>625</v>
      </c>
      <c r="C179" t="s">
        <v>159</v>
      </c>
      <c r="D179" t="s">
        <v>253</v>
      </c>
      <c r="E179" t="s">
        <v>37</v>
      </c>
      <c r="F179">
        <v>25</v>
      </c>
      <c r="G179" t="s">
        <v>114</v>
      </c>
      <c r="H179" t="s">
        <v>115</v>
      </c>
      <c r="I179" t="s">
        <v>88</v>
      </c>
      <c r="J179" t="s">
        <v>78</v>
      </c>
      <c r="K179" t="s">
        <v>79</v>
      </c>
      <c r="L179" t="s">
        <v>80</v>
      </c>
      <c r="M179">
        <v>5</v>
      </c>
      <c r="N179">
        <v>1800</v>
      </c>
      <c r="O179">
        <v>5</v>
      </c>
      <c r="P179">
        <v>8550</v>
      </c>
      <c r="Q179">
        <v>1261.95</v>
      </c>
      <c r="R179" t="s">
        <v>50</v>
      </c>
      <c r="S179" t="s">
        <v>31</v>
      </c>
      <c r="T179" t="s">
        <v>32</v>
      </c>
    </row>
    <row r="180" spans="1:20" x14ac:dyDescent="0.35">
      <c r="A180" t="s">
        <v>626</v>
      </c>
      <c r="B180" t="s">
        <v>627</v>
      </c>
      <c r="C180" t="s">
        <v>628</v>
      </c>
      <c r="D180" t="s">
        <v>151</v>
      </c>
      <c r="E180" t="s">
        <v>23</v>
      </c>
      <c r="F180">
        <v>47</v>
      </c>
      <c r="G180" t="s">
        <v>126</v>
      </c>
      <c r="H180" t="s">
        <v>127</v>
      </c>
      <c r="I180" t="s">
        <v>88</v>
      </c>
      <c r="J180" t="s">
        <v>47</v>
      </c>
      <c r="K180" t="s">
        <v>48</v>
      </c>
      <c r="L180" t="s">
        <v>49</v>
      </c>
      <c r="M180">
        <v>5</v>
      </c>
      <c r="N180">
        <v>150</v>
      </c>
      <c r="O180">
        <v>5</v>
      </c>
      <c r="P180">
        <v>712.5</v>
      </c>
      <c r="Q180">
        <v>196.28</v>
      </c>
      <c r="R180" t="s">
        <v>50</v>
      </c>
      <c r="S180" t="s">
        <v>51</v>
      </c>
      <c r="T180" t="s">
        <v>32</v>
      </c>
    </row>
    <row r="181" spans="1:20" x14ac:dyDescent="0.35">
      <c r="A181" t="s">
        <v>629</v>
      </c>
      <c r="B181" t="s">
        <v>630</v>
      </c>
      <c r="C181" t="s">
        <v>631</v>
      </c>
      <c r="D181" t="s">
        <v>437</v>
      </c>
      <c r="E181" t="s">
        <v>37</v>
      </c>
      <c r="F181">
        <v>20</v>
      </c>
      <c r="G181" t="s">
        <v>98</v>
      </c>
      <c r="H181" t="s">
        <v>99</v>
      </c>
      <c r="I181" t="s">
        <v>100</v>
      </c>
      <c r="J181" t="s">
        <v>89</v>
      </c>
      <c r="K181" t="s">
        <v>90</v>
      </c>
      <c r="L181" t="s">
        <v>128</v>
      </c>
      <c r="M181">
        <v>5</v>
      </c>
      <c r="N181">
        <v>7000</v>
      </c>
      <c r="O181">
        <v>5</v>
      </c>
      <c r="P181">
        <v>33250</v>
      </c>
      <c r="Q181">
        <v>4021.96</v>
      </c>
      <c r="R181" t="s">
        <v>50</v>
      </c>
      <c r="S181" t="s">
        <v>51</v>
      </c>
      <c r="T181" t="s">
        <v>60</v>
      </c>
    </row>
    <row r="182" spans="1:20" x14ac:dyDescent="0.35">
      <c r="A182" t="s">
        <v>632</v>
      </c>
      <c r="B182" t="s">
        <v>552</v>
      </c>
      <c r="C182" t="s">
        <v>312</v>
      </c>
      <c r="D182" t="s">
        <v>633</v>
      </c>
      <c r="E182" t="s">
        <v>23</v>
      </c>
      <c r="F182">
        <v>24</v>
      </c>
      <c r="G182" t="s">
        <v>38</v>
      </c>
      <c r="H182" t="s">
        <v>39</v>
      </c>
      <c r="I182" t="s">
        <v>26</v>
      </c>
      <c r="J182" t="s">
        <v>89</v>
      </c>
      <c r="K182" t="s">
        <v>90</v>
      </c>
      <c r="L182" t="s">
        <v>128</v>
      </c>
      <c r="M182">
        <v>4</v>
      </c>
      <c r="N182">
        <v>7000</v>
      </c>
      <c r="O182">
        <v>5</v>
      </c>
      <c r="P182">
        <v>26600</v>
      </c>
      <c r="Q182">
        <v>4432.96</v>
      </c>
      <c r="R182" t="s">
        <v>59</v>
      </c>
      <c r="S182" t="s">
        <v>31</v>
      </c>
      <c r="T182" t="s">
        <v>65</v>
      </c>
    </row>
    <row r="183" spans="1:20" x14ac:dyDescent="0.35">
      <c r="A183" t="s">
        <v>634</v>
      </c>
      <c r="B183" t="s">
        <v>381</v>
      </c>
      <c r="C183" t="s">
        <v>347</v>
      </c>
      <c r="D183" t="s">
        <v>348</v>
      </c>
      <c r="E183" t="s">
        <v>23</v>
      </c>
      <c r="F183">
        <v>24</v>
      </c>
      <c r="G183" t="s">
        <v>126</v>
      </c>
      <c r="H183" t="s">
        <v>127</v>
      </c>
      <c r="I183" t="s">
        <v>88</v>
      </c>
      <c r="J183" t="s">
        <v>27</v>
      </c>
      <c r="K183" t="s">
        <v>28</v>
      </c>
      <c r="L183" t="s">
        <v>140</v>
      </c>
      <c r="M183">
        <v>1</v>
      </c>
      <c r="N183">
        <v>65000</v>
      </c>
      <c r="O183">
        <v>5</v>
      </c>
      <c r="P183">
        <v>61750</v>
      </c>
      <c r="Q183">
        <v>16413.830000000002</v>
      </c>
      <c r="R183" t="s">
        <v>30</v>
      </c>
      <c r="S183" t="s">
        <v>31</v>
      </c>
      <c r="T183" t="s">
        <v>32</v>
      </c>
    </row>
    <row r="184" spans="1:20" x14ac:dyDescent="0.35">
      <c r="A184" t="s">
        <v>635</v>
      </c>
      <c r="B184" t="s">
        <v>240</v>
      </c>
      <c r="C184" t="s">
        <v>131</v>
      </c>
      <c r="D184" t="s">
        <v>613</v>
      </c>
      <c r="E184" t="s">
        <v>37</v>
      </c>
      <c r="F184">
        <v>35</v>
      </c>
      <c r="G184" t="s">
        <v>126</v>
      </c>
      <c r="H184" t="s">
        <v>127</v>
      </c>
      <c r="I184" t="s">
        <v>88</v>
      </c>
      <c r="J184" t="s">
        <v>27</v>
      </c>
      <c r="K184" t="s">
        <v>28</v>
      </c>
      <c r="L184" t="s">
        <v>40</v>
      </c>
      <c r="M184">
        <v>5</v>
      </c>
      <c r="N184">
        <v>2500</v>
      </c>
      <c r="O184">
        <v>15</v>
      </c>
      <c r="P184">
        <v>10625</v>
      </c>
      <c r="Q184">
        <v>2904.97</v>
      </c>
      <c r="R184" t="s">
        <v>41</v>
      </c>
      <c r="S184" t="s">
        <v>51</v>
      </c>
      <c r="T184" t="s">
        <v>93</v>
      </c>
    </row>
    <row r="185" spans="1:20" x14ac:dyDescent="0.35">
      <c r="A185" t="s">
        <v>636</v>
      </c>
      <c r="B185" t="s">
        <v>336</v>
      </c>
      <c r="C185" t="s">
        <v>534</v>
      </c>
      <c r="D185" t="s">
        <v>637</v>
      </c>
      <c r="E185" t="s">
        <v>23</v>
      </c>
      <c r="F185">
        <v>46</v>
      </c>
      <c r="G185" t="s">
        <v>114</v>
      </c>
      <c r="H185" t="s">
        <v>115</v>
      </c>
      <c r="I185" t="s">
        <v>88</v>
      </c>
      <c r="J185" t="s">
        <v>47</v>
      </c>
      <c r="K185" t="s">
        <v>48</v>
      </c>
      <c r="L185" t="s">
        <v>215</v>
      </c>
      <c r="M185">
        <v>2</v>
      </c>
      <c r="N185">
        <v>450</v>
      </c>
      <c r="O185">
        <v>20</v>
      </c>
      <c r="P185">
        <v>720</v>
      </c>
      <c r="Q185">
        <v>169.82</v>
      </c>
      <c r="R185" t="s">
        <v>81</v>
      </c>
      <c r="S185" t="s">
        <v>92</v>
      </c>
      <c r="T185" t="s">
        <v>93</v>
      </c>
    </row>
    <row r="186" spans="1:20" x14ac:dyDescent="0.35">
      <c r="A186" t="s">
        <v>638</v>
      </c>
      <c r="B186" t="s">
        <v>119</v>
      </c>
      <c r="C186" t="s">
        <v>112</v>
      </c>
      <c r="D186" t="s">
        <v>639</v>
      </c>
      <c r="E186" t="s">
        <v>23</v>
      </c>
      <c r="F186">
        <v>28</v>
      </c>
      <c r="G186" t="s">
        <v>57</v>
      </c>
      <c r="H186" t="s">
        <v>57</v>
      </c>
      <c r="I186" t="s">
        <v>58</v>
      </c>
      <c r="J186" t="s">
        <v>78</v>
      </c>
      <c r="K186" t="s">
        <v>79</v>
      </c>
      <c r="L186" t="s">
        <v>156</v>
      </c>
      <c r="M186">
        <v>3</v>
      </c>
      <c r="N186">
        <v>800</v>
      </c>
      <c r="O186">
        <v>15</v>
      </c>
      <c r="P186">
        <v>2040</v>
      </c>
      <c r="Q186">
        <v>463.45</v>
      </c>
      <c r="R186" t="s">
        <v>30</v>
      </c>
      <c r="S186" t="s">
        <v>51</v>
      </c>
      <c r="T186" t="s">
        <v>117</v>
      </c>
    </row>
    <row r="187" spans="1:20" x14ac:dyDescent="0.35">
      <c r="A187" t="s">
        <v>640</v>
      </c>
      <c r="B187" t="s">
        <v>641</v>
      </c>
      <c r="C187" t="s">
        <v>218</v>
      </c>
      <c r="D187" t="s">
        <v>477</v>
      </c>
      <c r="E187" t="s">
        <v>23</v>
      </c>
      <c r="F187">
        <v>56</v>
      </c>
      <c r="G187" t="s">
        <v>126</v>
      </c>
      <c r="H187" t="s">
        <v>127</v>
      </c>
      <c r="I187" t="s">
        <v>88</v>
      </c>
      <c r="J187" t="s">
        <v>89</v>
      </c>
      <c r="K187" t="s">
        <v>90</v>
      </c>
      <c r="L187" t="s">
        <v>242</v>
      </c>
      <c r="M187">
        <v>1</v>
      </c>
      <c r="N187">
        <v>6000</v>
      </c>
      <c r="O187">
        <v>15</v>
      </c>
      <c r="P187">
        <v>5100</v>
      </c>
      <c r="Q187">
        <v>465.66</v>
      </c>
      <c r="R187" t="s">
        <v>30</v>
      </c>
      <c r="S187" t="s">
        <v>51</v>
      </c>
      <c r="T187" t="s">
        <v>93</v>
      </c>
    </row>
    <row r="188" spans="1:20" x14ac:dyDescent="0.35">
      <c r="A188" t="s">
        <v>642</v>
      </c>
      <c r="B188" t="s">
        <v>504</v>
      </c>
      <c r="C188" t="s">
        <v>351</v>
      </c>
      <c r="D188" t="s">
        <v>643</v>
      </c>
      <c r="E188" t="s">
        <v>37</v>
      </c>
      <c r="F188">
        <v>41</v>
      </c>
      <c r="G188" t="s">
        <v>24</v>
      </c>
      <c r="H188" t="s">
        <v>25</v>
      </c>
      <c r="I188" t="s">
        <v>26</v>
      </c>
      <c r="J188" t="s">
        <v>47</v>
      </c>
      <c r="K188" t="s">
        <v>48</v>
      </c>
      <c r="L188" t="s">
        <v>49</v>
      </c>
      <c r="M188">
        <v>1</v>
      </c>
      <c r="N188">
        <v>150</v>
      </c>
      <c r="O188">
        <v>0</v>
      </c>
      <c r="P188">
        <v>150</v>
      </c>
      <c r="Q188">
        <v>34.409999999999997</v>
      </c>
      <c r="R188" t="s">
        <v>50</v>
      </c>
      <c r="S188" t="s">
        <v>51</v>
      </c>
      <c r="T188" t="s">
        <v>52</v>
      </c>
    </row>
    <row r="189" spans="1:20" x14ac:dyDescent="0.35">
      <c r="A189" t="s">
        <v>644</v>
      </c>
      <c r="B189" t="s">
        <v>529</v>
      </c>
      <c r="C189" t="s">
        <v>301</v>
      </c>
      <c r="D189" t="s">
        <v>267</v>
      </c>
      <c r="E189" t="s">
        <v>23</v>
      </c>
      <c r="F189">
        <v>28</v>
      </c>
      <c r="G189" t="s">
        <v>38</v>
      </c>
      <c r="H189" t="s">
        <v>39</v>
      </c>
      <c r="I189" t="s">
        <v>26</v>
      </c>
      <c r="J189" t="s">
        <v>47</v>
      </c>
      <c r="K189" t="s">
        <v>48</v>
      </c>
      <c r="L189" t="s">
        <v>215</v>
      </c>
      <c r="M189">
        <v>5</v>
      </c>
      <c r="N189">
        <v>450</v>
      </c>
      <c r="O189">
        <v>0</v>
      </c>
      <c r="P189">
        <v>2250</v>
      </c>
      <c r="Q189">
        <v>628.25</v>
      </c>
      <c r="R189" t="s">
        <v>41</v>
      </c>
      <c r="S189" t="s">
        <v>51</v>
      </c>
      <c r="T189" t="s">
        <v>93</v>
      </c>
    </row>
    <row r="190" spans="1:20" x14ac:dyDescent="0.35">
      <c r="A190" t="s">
        <v>645</v>
      </c>
      <c r="B190" t="s">
        <v>370</v>
      </c>
      <c r="C190" t="s">
        <v>646</v>
      </c>
      <c r="D190" t="s">
        <v>647</v>
      </c>
      <c r="E190" t="s">
        <v>37</v>
      </c>
      <c r="F190">
        <v>24</v>
      </c>
      <c r="G190" t="s">
        <v>86</v>
      </c>
      <c r="H190" t="s">
        <v>87</v>
      </c>
      <c r="I190" t="s">
        <v>88</v>
      </c>
      <c r="J190" t="s">
        <v>89</v>
      </c>
      <c r="K190" t="s">
        <v>90</v>
      </c>
      <c r="L190" t="s">
        <v>91</v>
      </c>
      <c r="M190">
        <v>3</v>
      </c>
      <c r="N190">
        <v>9000</v>
      </c>
      <c r="O190">
        <v>10</v>
      </c>
      <c r="P190">
        <v>24300</v>
      </c>
      <c r="Q190">
        <v>6587.56</v>
      </c>
      <c r="R190" t="s">
        <v>59</v>
      </c>
      <c r="S190" t="s">
        <v>31</v>
      </c>
      <c r="T190" t="s">
        <v>60</v>
      </c>
    </row>
    <row r="191" spans="1:20" x14ac:dyDescent="0.35">
      <c r="A191" t="s">
        <v>648</v>
      </c>
      <c r="B191" t="s">
        <v>649</v>
      </c>
      <c r="C191" t="s">
        <v>139</v>
      </c>
      <c r="D191" t="s">
        <v>650</v>
      </c>
      <c r="E191" t="s">
        <v>23</v>
      </c>
      <c r="F191">
        <v>49</v>
      </c>
      <c r="G191" t="s">
        <v>114</v>
      </c>
      <c r="H191" t="s">
        <v>115</v>
      </c>
      <c r="I191" t="s">
        <v>88</v>
      </c>
      <c r="J191" t="s">
        <v>89</v>
      </c>
      <c r="K191" t="s">
        <v>90</v>
      </c>
      <c r="L191" t="s">
        <v>91</v>
      </c>
      <c r="M191">
        <v>5</v>
      </c>
      <c r="N191">
        <v>9000</v>
      </c>
      <c r="O191">
        <v>0</v>
      </c>
      <c r="P191">
        <v>45000</v>
      </c>
      <c r="Q191">
        <v>6715.03</v>
      </c>
      <c r="R191" t="s">
        <v>41</v>
      </c>
      <c r="S191" t="s">
        <v>51</v>
      </c>
      <c r="T191" t="s">
        <v>117</v>
      </c>
    </row>
    <row r="192" spans="1:20" x14ac:dyDescent="0.35">
      <c r="A192" t="s">
        <v>651</v>
      </c>
      <c r="B192" t="s">
        <v>652</v>
      </c>
      <c r="C192" t="s">
        <v>653</v>
      </c>
      <c r="D192" t="s">
        <v>654</v>
      </c>
      <c r="E192" t="s">
        <v>37</v>
      </c>
      <c r="F192">
        <v>39</v>
      </c>
      <c r="G192" t="s">
        <v>126</v>
      </c>
      <c r="H192" t="s">
        <v>127</v>
      </c>
      <c r="I192" t="s">
        <v>88</v>
      </c>
      <c r="J192" t="s">
        <v>78</v>
      </c>
      <c r="K192" t="s">
        <v>79</v>
      </c>
      <c r="L192" t="s">
        <v>80</v>
      </c>
      <c r="M192">
        <v>5</v>
      </c>
      <c r="N192">
        <v>1800</v>
      </c>
      <c r="O192">
        <v>10</v>
      </c>
      <c r="P192">
        <v>8100</v>
      </c>
      <c r="Q192">
        <v>1174.3699999999999</v>
      </c>
      <c r="R192" t="s">
        <v>50</v>
      </c>
      <c r="S192" t="s">
        <v>92</v>
      </c>
      <c r="T192" t="s">
        <v>65</v>
      </c>
    </row>
    <row r="193" spans="1:20" x14ac:dyDescent="0.35">
      <c r="A193" t="s">
        <v>655</v>
      </c>
      <c r="B193" t="s">
        <v>656</v>
      </c>
      <c r="C193" t="s">
        <v>218</v>
      </c>
      <c r="D193" t="s">
        <v>354</v>
      </c>
      <c r="E193" t="s">
        <v>23</v>
      </c>
      <c r="F193">
        <v>42</v>
      </c>
      <c r="G193" t="s">
        <v>114</v>
      </c>
      <c r="H193" t="s">
        <v>115</v>
      </c>
      <c r="I193" t="s">
        <v>88</v>
      </c>
      <c r="J193" t="s">
        <v>78</v>
      </c>
      <c r="K193" t="s">
        <v>79</v>
      </c>
      <c r="L193" t="s">
        <v>156</v>
      </c>
      <c r="M193">
        <v>3</v>
      </c>
      <c r="N193">
        <v>800</v>
      </c>
      <c r="O193">
        <v>5</v>
      </c>
      <c r="P193">
        <v>2280</v>
      </c>
      <c r="Q193">
        <v>489.53</v>
      </c>
      <c r="R193" t="s">
        <v>59</v>
      </c>
      <c r="S193" t="s">
        <v>92</v>
      </c>
      <c r="T193" t="s">
        <v>60</v>
      </c>
    </row>
    <row r="194" spans="1:20" x14ac:dyDescent="0.35">
      <c r="A194" t="s">
        <v>657</v>
      </c>
      <c r="B194" t="s">
        <v>658</v>
      </c>
      <c r="C194" t="s">
        <v>659</v>
      </c>
      <c r="D194" t="s">
        <v>660</v>
      </c>
      <c r="E194" t="s">
        <v>37</v>
      </c>
      <c r="F194">
        <v>31</v>
      </c>
      <c r="G194" t="s">
        <v>98</v>
      </c>
      <c r="H194" t="s">
        <v>99</v>
      </c>
      <c r="I194" t="s">
        <v>100</v>
      </c>
      <c r="J194" t="s">
        <v>27</v>
      </c>
      <c r="K194" t="s">
        <v>28</v>
      </c>
      <c r="L194" t="s">
        <v>40</v>
      </c>
      <c r="M194">
        <v>5</v>
      </c>
      <c r="N194">
        <v>2500</v>
      </c>
      <c r="O194">
        <v>10</v>
      </c>
      <c r="P194">
        <v>11250</v>
      </c>
      <c r="Q194">
        <v>2583.17</v>
      </c>
      <c r="R194" t="s">
        <v>59</v>
      </c>
      <c r="S194" t="s">
        <v>31</v>
      </c>
      <c r="T194" t="s">
        <v>60</v>
      </c>
    </row>
    <row r="195" spans="1:20" x14ac:dyDescent="0.35">
      <c r="A195" t="s">
        <v>661</v>
      </c>
      <c r="B195" t="s">
        <v>662</v>
      </c>
      <c r="C195" t="s">
        <v>55</v>
      </c>
      <c r="D195" t="s">
        <v>663</v>
      </c>
      <c r="E195" t="s">
        <v>37</v>
      </c>
      <c r="F195">
        <v>48</v>
      </c>
      <c r="G195" t="s">
        <v>114</v>
      </c>
      <c r="H195" t="s">
        <v>115</v>
      </c>
      <c r="I195" t="s">
        <v>88</v>
      </c>
      <c r="J195" t="s">
        <v>47</v>
      </c>
      <c r="K195" t="s">
        <v>48</v>
      </c>
      <c r="L195" t="s">
        <v>215</v>
      </c>
      <c r="M195">
        <v>2</v>
      </c>
      <c r="N195">
        <v>450</v>
      </c>
      <c r="O195">
        <v>5</v>
      </c>
      <c r="P195">
        <v>855</v>
      </c>
      <c r="Q195">
        <v>178.3</v>
      </c>
      <c r="R195" t="s">
        <v>30</v>
      </c>
      <c r="S195" t="s">
        <v>51</v>
      </c>
      <c r="T195" t="s">
        <v>117</v>
      </c>
    </row>
    <row r="196" spans="1:20" x14ac:dyDescent="0.35">
      <c r="A196" t="s">
        <v>664</v>
      </c>
      <c r="B196" t="s">
        <v>665</v>
      </c>
      <c r="C196" t="s">
        <v>623</v>
      </c>
      <c r="D196" t="s">
        <v>584</v>
      </c>
      <c r="E196" t="s">
        <v>37</v>
      </c>
      <c r="F196">
        <v>22</v>
      </c>
      <c r="G196" t="s">
        <v>24</v>
      </c>
      <c r="H196" t="s">
        <v>25</v>
      </c>
      <c r="I196" t="s">
        <v>26</v>
      </c>
      <c r="J196" t="s">
        <v>27</v>
      </c>
      <c r="K196" t="s">
        <v>28</v>
      </c>
      <c r="L196" t="s">
        <v>40</v>
      </c>
      <c r="M196">
        <v>1</v>
      </c>
      <c r="N196">
        <v>2500</v>
      </c>
      <c r="O196">
        <v>5</v>
      </c>
      <c r="P196">
        <v>2375</v>
      </c>
      <c r="Q196">
        <v>355.69</v>
      </c>
      <c r="R196" t="s">
        <v>50</v>
      </c>
      <c r="S196" t="s">
        <v>31</v>
      </c>
      <c r="T196" t="s">
        <v>93</v>
      </c>
    </row>
    <row r="197" spans="1:20" x14ac:dyDescent="0.35">
      <c r="A197" t="s">
        <v>666</v>
      </c>
      <c r="B197" t="s">
        <v>667</v>
      </c>
      <c r="C197" t="s">
        <v>252</v>
      </c>
      <c r="D197" t="s">
        <v>201</v>
      </c>
      <c r="E197" t="s">
        <v>23</v>
      </c>
      <c r="F197">
        <v>48</v>
      </c>
      <c r="G197" t="s">
        <v>86</v>
      </c>
      <c r="H197" t="s">
        <v>87</v>
      </c>
      <c r="I197" t="s">
        <v>88</v>
      </c>
      <c r="J197" t="s">
        <v>78</v>
      </c>
      <c r="K197" t="s">
        <v>79</v>
      </c>
      <c r="L197" t="s">
        <v>80</v>
      </c>
      <c r="M197">
        <v>2</v>
      </c>
      <c r="N197">
        <v>1800</v>
      </c>
      <c r="O197">
        <v>10</v>
      </c>
      <c r="P197">
        <v>3240</v>
      </c>
      <c r="Q197">
        <v>834.87</v>
      </c>
      <c r="R197" t="s">
        <v>81</v>
      </c>
      <c r="S197" t="s">
        <v>51</v>
      </c>
      <c r="T197" t="s">
        <v>52</v>
      </c>
    </row>
    <row r="198" spans="1:20" x14ac:dyDescent="0.35">
      <c r="A198" t="s">
        <v>668</v>
      </c>
      <c r="B198" t="s">
        <v>669</v>
      </c>
      <c r="C198" t="s">
        <v>252</v>
      </c>
      <c r="D198" t="s">
        <v>670</v>
      </c>
      <c r="E198" t="s">
        <v>37</v>
      </c>
      <c r="F198">
        <v>45</v>
      </c>
      <c r="G198" t="s">
        <v>57</v>
      </c>
      <c r="H198" t="s">
        <v>57</v>
      </c>
      <c r="I198" t="s">
        <v>58</v>
      </c>
      <c r="J198" t="s">
        <v>27</v>
      </c>
      <c r="K198" t="s">
        <v>28</v>
      </c>
      <c r="L198" t="s">
        <v>73</v>
      </c>
      <c r="M198">
        <v>2</v>
      </c>
      <c r="N198">
        <v>25000</v>
      </c>
      <c r="O198">
        <v>15</v>
      </c>
      <c r="P198">
        <v>42500</v>
      </c>
      <c r="Q198">
        <v>5145.22</v>
      </c>
      <c r="R198" t="s">
        <v>59</v>
      </c>
      <c r="S198" t="s">
        <v>51</v>
      </c>
      <c r="T198" t="s">
        <v>117</v>
      </c>
    </row>
    <row r="199" spans="1:20" x14ac:dyDescent="0.35">
      <c r="A199" t="s">
        <v>671</v>
      </c>
      <c r="B199" t="s">
        <v>672</v>
      </c>
      <c r="C199" t="s">
        <v>673</v>
      </c>
      <c r="D199" t="s">
        <v>72</v>
      </c>
      <c r="E199" t="s">
        <v>23</v>
      </c>
      <c r="F199">
        <v>25</v>
      </c>
      <c r="G199" t="s">
        <v>38</v>
      </c>
      <c r="H199" t="s">
        <v>39</v>
      </c>
      <c r="I199" t="s">
        <v>26</v>
      </c>
      <c r="J199" t="s">
        <v>89</v>
      </c>
      <c r="K199" t="s">
        <v>90</v>
      </c>
      <c r="L199" t="s">
        <v>128</v>
      </c>
      <c r="M199">
        <v>3</v>
      </c>
      <c r="N199">
        <v>7000</v>
      </c>
      <c r="O199">
        <v>5</v>
      </c>
      <c r="P199">
        <v>19950</v>
      </c>
      <c r="Q199">
        <v>4756.6099999999997</v>
      </c>
      <c r="R199" t="s">
        <v>59</v>
      </c>
      <c r="S199" t="s">
        <v>51</v>
      </c>
      <c r="T199" t="s">
        <v>65</v>
      </c>
    </row>
    <row r="200" spans="1:20" x14ac:dyDescent="0.35">
      <c r="A200" t="s">
        <v>674</v>
      </c>
      <c r="B200" t="s">
        <v>675</v>
      </c>
      <c r="C200" t="s">
        <v>676</v>
      </c>
      <c r="D200" t="s">
        <v>677</v>
      </c>
      <c r="E200" t="s">
        <v>23</v>
      </c>
      <c r="F200">
        <v>57</v>
      </c>
      <c r="G200" t="s">
        <v>86</v>
      </c>
      <c r="H200" t="s">
        <v>87</v>
      </c>
      <c r="I200" t="s">
        <v>88</v>
      </c>
      <c r="J200" t="s">
        <v>89</v>
      </c>
      <c r="K200" t="s">
        <v>90</v>
      </c>
      <c r="L200" t="s">
        <v>242</v>
      </c>
      <c r="M200">
        <v>1</v>
      </c>
      <c r="N200">
        <v>6000</v>
      </c>
      <c r="O200">
        <v>0</v>
      </c>
      <c r="P200">
        <v>6000</v>
      </c>
      <c r="Q200">
        <v>981.3</v>
      </c>
      <c r="R200" t="s">
        <v>41</v>
      </c>
      <c r="S200" t="s">
        <v>31</v>
      </c>
      <c r="T200" t="s">
        <v>117</v>
      </c>
    </row>
    <row r="201" spans="1:20" x14ac:dyDescent="0.35">
      <c r="A201" t="s">
        <v>678</v>
      </c>
      <c r="B201" t="s">
        <v>652</v>
      </c>
      <c r="C201" t="s">
        <v>337</v>
      </c>
      <c r="D201" t="s">
        <v>679</v>
      </c>
      <c r="E201" t="s">
        <v>37</v>
      </c>
      <c r="F201">
        <v>24</v>
      </c>
      <c r="G201" t="s">
        <v>57</v>
      </c>
      <c r="H201" t="s">
        <v>57</v>
      </c>
      <c r="I201" t="s">
        <v>58</v>
      </c>
      <c r="J201" t="s">
        <v>78</v>
      </c>
      <c r="K201" t="s">
        <v>79</v>
      </c>
      <c r="L201" t="s">
        <v>156</v>
      </c>
      <c r="M201">
        <v>2</v>
      </c>
      <c r="N201">
        <v>800</v>
      </c>
      <c r="O201">
        <v>20</v>
      </c>
      <c r="P201">
        <v>1280</v>
      </c>
      <c r="Q201">
        <v>272.55</v>
      </c>
      <c r="R201" t="s">
        <v>59</v>
      </c>
      <c r="S201" t="s">
        <v>31</v>
      </c>
      <c r="T201" t="s">
        <v>117</v>
      </c>
    </row>
    <row r="202" spans="1:20" x14ac:dyDescent="0.35">
      <c r="A202" t="s">
        <v>680</v>
      </c>
      <c r="B202" t="s">
        <v>326</v>
      </c>
      <c r="C202" t="s">
        <v>104</v>
      </c>
      <c r="D202" t="s">
        <v>563</v>
      </c>
      <c r="E202" t="s">
        <v>23</v>
      </c>
      <c r="F202">
        <v>57</v>
      </c>
      <c r="G202" t="s">
        <v>38</v>
      </c>
      <c r="H202" t="s">
        <v>39</v>
      </c>
      <c r="I202" t="s">
        <v>26</v>
      </c>
      <c r="J202" t="s">
        <v>78</v>
      </c>
      <c r="K202" t="s">
        <v>79</v>
      </c>
      <c r="L202" t="s">
        <v>156</v>
      </c>
      <c r="M202">
        <v>5</v>
      </c>
      <c r="N202">
        <v>800</v>
      </c>
      <c r="O202">
        <v>0</v>
      </c>
      <c r="P202">
        <v>4000</v>
      </c>
      <c r="Q202">
        <v>379.07</v>
      </c>
      <c r="R202" t="s">
        <v>81</v>
      </c>
      <c r="S202" t="s">
        <v>51</v>
      </c>
      <c r="T202" t="s">
        <v>65</v>
      </c>
    </row>
    <row r="203" spans="1:20" x14ac:dyDescent="0.35">
      <c r="A203" t="s">
        <v>681</v>
      </c>
      <c r="B203" t="s">
        <v>682</v>
      </c>
      <c r="C203" t="s">
        <v>646</v>
      </c>
      <c r="D203" t="s">
        <v>683</v>
      </c>
      <c r="E203" t="s">
        <v>37</v>
      </c>
      <c r="F203">
        <v>48</v>
      </c>
      <c r="G203" t="s">
        <v>114</v>
      </c>
      <c r="H203" t="s">
        <v>115</v>
      </c>
      <c r="I203" t="s">
        <v>88</v>
      </c>
      <c r="J203" t="s">
        <v>89</v>
      </c>
      <c r="K203" t="s">
        <v>90</v>
      </c>
      <c r="L203" t="s">
        <v>91</v>
      </c>
      <c r="M203">
        <v>3</v>
      </c>
      <c r="N203">
        <v>9000</v>
      </c>
      <c r="O203">
        <v>20</v>
      </c>
      <c r="P203">
        <v>21600</v>
      </c>
      <c r="Q203">
        <v>3816.3</v>
      </c>
      <c r="R203" t="s">
        <v>50</v>
      </c>
      <c r="S203" t="s">
        <v>31</v>
      </c>
      <c r="T203" t="s">
        <v>65</v>
      </c>
    </row>
    <row r="204" spans="1:20" x14ac:dyDescent="0.35">
      <c r="A204" t="s">
        <v>684</v>
      </c>
      <c r="B204" t="s">
        <v>228</v>
      </c>
      <c r="C204" t="s">
        <v>400</v>
      </c>
      <c r="D204" t="s">
        <v>685</v>
      </c>
      <c r="E204" t="s">
        <v>37</v>
      </c>
      <c r="F204">
        <v>56</v>
      </c>
      <c r="G204" t="s">
        <v>98</v>
      </c>
      <c r="H204" t="s">
        <v>99</v>
      </c>
      <c r="I204" t="s">
        <v>100</v>
      </c>
      <c r="J204" t="s">
        <v>47</v>
      </c>
      <c r="K204" t="s">
        <v>48</v>
      </c>
      <c r="L204" t="s">
        <v>49</v>
      </c>
      <c r="M204">
        <v>3</v>
      </c>
      <c r="N204">
        <v>150</v>
      </c>
      <c r="O204">
        <v>0</v>
      </c>
      <c r="P204">
        <v>450</v>
      </c>
      <c r="Q204">
        <v>87.43</v>
      </c>
      <c r="R204" t="s">
        <v>41</v>
      </c>
      <c r="S204" t="s">
        <v>92</v>
      </c>
      <c r="T204" t="s">
        <v>117</v>
      </c>
    </row>
    <row r="205" spans="1:20" x14ac:dyDescent="0.35">
      <c r="A205" t="s">
        <v>686</v>
      </c>
      <c r="B205" t="s">
        <v>687</v>
      </c>
      <c r="C205" t="s">
        <v>143</v>
      </c>
      <c r="D205" t="s">
        <v>168</v>
      </c>
      <c r="E205" t="s">
        <v>23</v>
      </c>
      <c r="F205">
        <v>35</v>
      </c>
      <c r="G205" t="s">
        <v>57</v>
      </c>
      <c r="H205" t="s">
        <v>57</v>
      </c>
      <c r="I205" t="s">
        <v>58</v>
      </c>
      <c r="J205" t="s">
        <v>27</v>
      </c>
      <c r="K205" t="s">
        <v>28</v>
      </c>
      <c r="L205" t="s">
        <v>140</v>
      </c>
      <c r="M205">
        <v>5</v>
      </c>
      <c r="N205">
        <v>65000</v>
      </c>
      <c r="O205">
        <v>10</v>
      </c>
      <c r="P205">
        <v>292500</v>
      </c>
      <c r="Q205">
        <v>32876.129999999997</v>
      </c>
      <c r="R205" t="s">
        <v>41</v>
      </c>
      <c r="S205" t="s">
        <v>31</v>
      </c>
      <c r="T205" t="s">
        <v>32</v>
      </c>
    </row>
    <row r="206" spans="1:20" x14ac:dyDescent="0.35">
      <c r="A206" t="s">
        <v>688</v>
      </c>
      <c r="B206" t="s">
        <v>334</v>
      </c>
      <c r="C206" t="s">
        <v>689</v>
      </c>
      <c r="D206" t="s">
        <v>413</v>
      </c>
      <c r="E206" t="s">
        <v>23</v>
      </c>
      <c r="F206">
        <v>40</v>
      </c>
      <c r="G206" t="s">
        <v>57</v>
      </c>
      <c r="H206" t="s">
        <v>57</v>
      </c>
      <c r="I206" t="s">
        <v>58</v>
      </c>
      <c r="J206" t="s">
        <v>78</v>
      </c>
      <c r="K206" t="s">
        <v>79</v>
      </c>
      <c r="L206" t="s">
        <v>101</v>
      </c>
      <c r="M206">
        <v>1</v>
      </c>
      <c r="N206">
        <v>3500</v>
      </c>
      <c r="O206">
        <v>5</v>
      </c>
      <c r="P206">
        <v>3325</v>
      </c>
      <c r="Q206">
        <v>535.34</v>
      </c>
      <c r="R206" t="s">
        <v>50</v>
      </c>
      <c r="S206" t="s">
        <v>51</v>
      </c>
      <c r="T206" t="s">
        <v>52</v>
      </c>
    </row>
    <row r="207" spans="1:20" x14ac:dyDescent="0.35">
      <c r="A207" t="s">
        <v>690</v>
      </c>
      <c r="B207" t="s">
        <v>691</v>
      </c>
      <c r="C207" t="s">
        <v>373</v>
      </c>
      <c r="D207" t="s">
        <v>502</v>
      </c>
      <c r="E207" t="s">
        <v>23</v>
      </c>
      <c r="F207">
        <v>45</v>
      </c>
      <c r="G207" t="s">
        <v>38</v>
      </c>
      <c r="H207" t="s">
        <v>39</v>
      </c>
      <c r="I207" t="s">
        <v>26</v>
      </c>
      <c r="J207" t="s">
        <v>47</v>
      </c>
      <c r="K207" t="s">
        <v>48</v>
      </c>
      <c r="L207" t="s">
        <v>116</v>
      </c>
      <c r="M207">
        <v>3</v>
      </c>
      <c r="N207">
        <v>120</v>
      </c>
      <c r="O207">
        <v>15</v>
      </c>
      <c r="P207">
        <v>306</v>
      </c>
      <c r="Q207">
        <v>30.75</v>
      </c>
      <c r="R207" t="s">
        <v>81</v>
      </c>
      <c r="S207" t="s">
        <v>51</v>
      </c>
      <c r="T207" t="s">
        <v>93</v>
      </c>
    </row>
    <row r="208" spans="1:20" x14ac:dyDescent="0.35">
      <c r="A208" t="s">
        <v>692</v>
      </c>
      <c r="B208" t="s">
        <v>62</v>
      </c>
      <c r="C208" t="s">
        <v>480</v>
      </c>
      <c r="D208" t="s">
        <v>643</v>
      </c>
      <c r="E208" t="s">
        <v>23</v>
      </c>
      <c r="F208">
        <v>30</v>
      </c>
      <c r="G208" t="s">
        <v>86</v>
      </c>
      <c r="H208" t="s">
        <v>87</v>
      </c>
      <c r="I208" t="s">
        <v>88</v>
      </c>
      <c r="J208" t="s">
        <v>27</v>
      </c>
      <c r="K208" t="s">
        <v>28</v>
      </c>
      <c r="L208" t="s">
        <v>73</v>
      </c>
      <c r="M208">
        <v>1</v>
      </c>
      <c r="N208">
        <v>25000</v>
      </c>
      <c r="O208">
        <v>0</v>
      </c>
      <c r="P208">
        <v>25000</v>
      </c>
      <c r="Q208">
        <v>3623.02</v>
      </c>
      <c r="R208" t="s">
        <v>50</v>
      </c>
      <c r="S208" t="s">
        <v>51</v>
      </c>
      <c r="T208" t="s">
        <v>52</v>
      </c>
    </row>
    <row r="209" spans="1:20" x14ac:dyDescent="0.35">
      <c r="A209" t="s">
        <v>693</v>
      </c>
      <c r="B209" t="s">
        <v>459</v>
      </c>
      <c r="C209" t="s">
        <v>526</v>
      </c>
      <c r="D209" t="s">
        <v>694</v>
      </c>
      <c r="E209" t="s">
        <v>37</v>
      </c>
      <c r="F209">
        <v>44</v>
      </c>
      <c r="G209" t="s">
        <v>46</v>
      </c>
      <c r="H209" t="s">
        <v>25</v>
      </c>
      <c r="I209" t="s">
        <v>26</v>
      </c>
      <c r="J209" t="s">
        <v>89</v>
      </c>
      <c r="K209" t="s">
        <v>90</v>
      </c>
      <c r="L209" t="s">
        <v>242</v>
      </c>
      <c r="M209">
        <v>3</v>
      </c>
      <c r="N209">
        <v>6000</v>
      </c>
      <c r="O209">
        <v>10</v>
      </c>
      <c r="P209">
        <v>16200</v>
      </c>
      <c r="Q209">
        <v>2334.35</v>
      </c>
      <c r="R209" t="s">
        <v>81</v>
      </c>
      <c r="S209" t="s">
        <v>51</v>
      </c>
      <c r="T209" t="s">
        <v>32</v>
      </c>
    </row>
    <row r="210" spans="1:20" x14ac:dyDescent="0.35">
      <c r="A210" t="s">
        <v>695</v>
      </c>
      <c r="B210" t="s">
        <v>696</v>
      </c>
      <c r="C210" t="s">
        <v>146</v>
      </c>
      <c r="D210" t="s">
        <v>389</v>
      </c>
      <c r="E210" t="s">
        <v>37</v>
      </c>
      <c r="F210">
        <v>34</v>
      </c>
      <c r="G210" t="s">
        <v>46</v>
      </c>
      <c r="H210" t="s">
        <v>25</v>
      </c>
      <c r="I210" t="s">
        <v>26</v>
      </c>
      <c r="J210" t="s">
        <v>27</v>
      </c>
      <c r="K210" t="s">
        <v>28</v>
      </c>
      <c r="L210" t="s">
        <v>73</v>
      </c>
      <c r="M210">
        <v>1</v>
      </c>
      <c r="N210">
        <v>25000</v>
      </c>
      <c r="O210">
        <v>5</v>
      </c>
      <c r="P210">
        <v>23750</v>
      </c>
      <c r="Q210">
        <v>2195.9</v>
      </c>
      <c r="R210" t="s">
        <v>59</v>
      </c>
      <c r="S210" t="s">
        <v>51</v>
      </c>
      <c r="T210" t="s">
        <v>117</v>
      </c>
    </row>
    <row r="211" spans="1:20" x14ac:dyDescent="0.35">
      <c r="A211" t="s">
        <v>697</v>
      </c>
      <c r="B211" t="s">
        <v>698</v>
      </c>
      <c r="C211" t="s">
        <v>343</v>
      </c>
      <c r="D211" t="s">
        <v>222</v>
      </c>
      <c r="E211" t="s">
        <v>23</v>
      </c>
      <c r="F211">
        <v>23</v>
      </c>
      <c r="G211" t="s">
        <v>126</v>
      </c>
      <c r="H211" t="s">
        <v>127</v>
      </c>
      <c r="I211" t="s">
        <v>88</v>
      </c>
      <c r="J211" t="s">
        <v>27</v>
      </c>
      <c r="K211" t="s">
        <v>28</v>
      </c>
      <c r="L211" t="s">
        <v>40</v>
      </c>
      <c r="M211">
        <v>5</v>
      </c>
      <c r="N211">
        <v>2500</v>
      </c>
      <c r="O211">
        <v>15</v>
      </c>
      <c r="P211">
        <v>10625</v>
      </c>
      <c r="Q211">
        <v>942.86</v>
      </c>
      <c r="R211" t="s">
        <v>50</v>
      </c>
      <c r="S211" t="s">
        <v>31</v>
      </c>
      <c r="T211" t="s">
        <v>117</v>
      </c>
    </row>
    <row r="212" spans="1:20" x14ac:dyDescent="0.35">
      <c r="A212" t="s">
        <v>699</v>
      </c>
      <c r="B212" t="s">
        <v>700</v>
      </c>
      <c r="C212" t="s">
        <v>701</v>
      </c>
      <c r="D212" t="s">
        <v>168</v>
      </c>
      <c r="E212" t="s">
        <v>37</v>
      </c>
      <c r="F212">
        <v>46</v>
      </c>
      <c r="G212" t="s">
        <v>24</v>
      </c>
      <c r="H212" t="s">
        <v>25</v>
      </c>
      <c r="I212" t="s">
        <v>26</v>
      </c>
      <c r="J212" t="s">
        <v>89</v>
      </c>
      <c r="K212" t="s">
        <v>90</v>
      </c>
      <c r="L212" t="s">
        <v>128</v>
      </c>
      <c r="M212">
        <v>2</v>
      </c>
      <c r="N212">
        <v>7000</v>
      </c>
      <c r="O212">
        <v>0</v>
      </c>
      <c r="P212">
        <v>14000</v>
      </c>
      <c r="Q212">
        <v>1839.99</v>
      </c>
      <c r="R212" t="s">
        <v>50</v>
      </c>
      <c r="S212" t="s">
        <v>51</v>
      </c>
      <c r="T212" t="s">
        <v>117</v>
      </c>
    </row>
    <row r="213" spans="1:20" x14ac:dyDescent="0.35">
      <c r="A213" t="s">
        <v>702</v>
      </c>
      <c r="B213" t="s">
        <v>703</v>
      </c>
      <c r="C213" t="s">
        <v>704</v>
      </c>
      <c r="D213" t="s">
        <v>222</v>
      </c>
      <c r="E213" t="s">
        <v>23</v>
      </c>
      <c r="F213">
        <v>48</v>
      </c>
      <c r="G213" t="s">
        <v>24</v>
      </c>
      <c r="H213" t="s">
        <v>25</v>
      </c>
      <c r="I213" t="s">
        <v>26</v>
      </c>
      <c r="J213" t="s">
        <v>89</v>
      </c>
      <c r="K213" t="s">
        <v>90</v>
      </c>
      <c r="L213" t="s">
        <v>242</v>
      </c>
      <c r="M213">
        <v>1</v>
      </c>
      <c r="N213">
        <v>6000</v>
      </c>
      <c r="O213">
        <v>20</v>
      </c>
      <c r="P213">
        <v>4800</v>
      </c>
      <c r="Q213">
        <v>974.39</v>
      </c>
      <c r="R213" t="s">
        <v>81</v>
      </c>
      <c r="S213" t="s">
        <v>51</v>
      </c>
      <c r="T213" t="s">
        <v>117</v>
      </c>
    </row>
    <row r="214" spans="1:20" x14ac:dyDescent="0.35">
      <c r="A214" t="s">
        <v>705</v>
      </c>
      <c r="B214" t="s">
        <v>706</v>
      </c>
      <c r="C214" t="s">
        <v>707</v>
      </c>
      <c r="D214" t="s">
        <v>168</v>
      </c>
      <c r="E214" t="s">
        <v>37</v>
      </c>
      <c r="F214">
        <v>38</v>
      </c>
      <c r="G214" t="s">
        <v>86</v>
      </c>
      <c r="H214" t="s">
        <v>87</v>
      </c>
      <c r="I214" t="s">
        <v>88</v>
      </c>
      <c r="J214" t="s">
        <v>89</v>
      </c>
      <c r="K214" t="s">
        <v>90</v>
      </c>
      <c r="L214" t="s">
        <v>91</v>
      </c>
      <c r="M214">
        <v>3</v>
      </c>
      <c r="N214">
        <v>9000</v>
      </c>
      <c r="O214">
        <v>5</v>
      </c>
      <c r="P214">
        <v>25650</v>
      </c>
      <c r="Q214">
        <v>4291.16</v>
      </c>
      <c r="R214" t="s">
        <v>41</v>
      </c>
      <c r="S214" t="s">
        <v>51</v>
      </c>
      <c r="T214" t="s">
        <v>117</v>
      </c>
    </row>
    <row r="215" spans="1:20" x14ac:dyDescent="0.35">
      <c r="A215" t="s">
        <v>708</v>
      </c>
      <c r="B215" t="s">
        <v>300</v>
      </c>
      <c r="C215" t="s">
        <v>400</v>
      </c>
      <c r="D215" t="s">
        <v>709</v>
      </c>
      <c r="E215" t="s">
        <v>23</v>
      </c>
      <c r="F215">
        <v>26</v>
      </c>
      <c r="G215" t="s">
        <v>114</v>
      </c>
      <c r="H215" t="s">
        <v>115</v>
      </c>
      <c r="I215" t="s">
        <v>88</v>
      </c>
      <c r="J215" t="s">
        <v>27</v>
      </c>
      <c r="K215" t="s">
        <v>28</v>
      </c>
      <c r="L215" t="s">
        <v>29</v>
      </c>
      <c r="M215">
        <v>1</v>
      </c>
      <c r="N215">
        <v>12000</v>
      </c>
      <c r="O215">
        <v>10</v>
      </c>
      <c r="P215">
        <v>10800</v>
      </c>
      <c r="Q215">
        <v>2802.04</v>
      </c>
      <c r="R215" t="s">
        <v>30</v>
      </c>
      <c r="S215" t="s">
        <v>92</v>
      </c>
      <c r="T215" t="s">
        <v>60</v>
      </c>
    </row>
    <row r="216" spans="1:20" x14ac:dyDescent="0.35">
      <c r="A216" t="s">
        <v>710</v>
      </c>
      <c r="B216" t="s">
        <v>667</v>
      </c>
      <c r="C216" t="s">
        <v>711</v>
      </c>
      <c r="D216" t="s">
        <v>332</v>
      </c>
      <c r="E216" t="s">
        <v>37</v>
      </c>
      <c r="F216">
        <v>26</v>
      </c>
      <c r="G216" t="s">
        <v>57</v>
      </c>
      <c r="H216" t="s">
        <v>57</v>
      </c>
      <c r="I216" t="s">
        <v>58</v>
      </c>
      <c r="J216" t="s">
        <v>78</v>
      </c>
      <c r="K216" t="s">
        <v>79</v>
      </c>
      <c r="L216" t="s">
        <v>156</v>
      </c>
      <c r="M216">
        <v>3</v>
      </c>
      <c r="N216">
        <v>800</v>
      </c>
      <c r="O216">
        <v>10</v>
      </c>
      <c r="P216">
        <v>2160</v>
      </c>
      <c r="Q216">
        <v>299.52</v>
      </c>
      <c r="R216" t="s">
        <v>81</v>
      </c>
      <c r="S216" t="s">
        <v>92</v>
      </c>
      <c r="T216" t="s">
        <v>65</v>
      </c>
    </row>
    <row r="217" spans="1:20" x14ac:dyDescent="0.35">
      <c r="A217" t="s">
        <v>712</v>
      </c>
      <c r="B217" t="s">
        <v>713</v>
      </c>
      <c r="C217" t="s">
        <v>270</v>
      </c>
      <c r="D217" t="s">
        <v>226</v>
      </c>
      <c r="E217" t="s">
        <v>23</v>
      </c>
      <c r="F217">
        <v>37</v>
      </c>
      <c r="G217" t="s">
        <v>38</v>
      </c>
      <c r="H217" t="s">
        <v>39</v>
      </c>
      <c r="I217" t="s">
        <v>26</v>
      </c>
      <c r="J217" t="s">
        <v>89</v>
      </c>
      <c r="K217" t="s">
        <v>90</v>
      </c>
      <c r="L217" t="s">
        <v>242</v>
      </c>
      <c r="M217">
        <v>3</v>
      </c>
      <c r="N217">
        <v>6000</v>
      </c>
      <c r="O217">
        <v>20</v>
      </c>
      <c r="P217">
        <v>14400</v>
      </c>
      <c r="Q217">
        <v>1403.53</v>
      </c>
      <c r="R217" t="s">
        <v>50</v>
      </c>
      <c r="S217" t="s">
        <v>92</v>
      </c>
      <c r="T217" t="s">
        <v>52</v>
      </c>
    </row>
    <row r="218" spans="1:20" x14ac:dyDescent="0.35">
      <c r="A218" t="s">
        <v>714</v>
      </c>
      <c r="B218" t="s">
        <v>706</v>
      </c>
      <c r="C218" t="s">
        <v>233</v>
      </c>
      <c r="D218" t="s">
        <v>278</v>
      </c>
      <c r="E218" t="s">
        <v>23</v>
      </c>
      <c r="F218">
        <v>42</v>
      </c>
      <c r="G218" t="s">
        <v>114</v>
      </c>
      <c r="H218" t="s">
        <v>115</v>
      </c>
      <c r="I218" t="s">
        <v>88</v>
      </c>
      <c r="J218" t="s">
        <v>47</v>
      </c>
      <c r="K218" t="s">
        <v>48</v>
      </c>
      <c r="L218" t="s">
        <v>116</v>
      </c>
      <c r="M218">
        <v>4</v>
      </c>
      <c r="N218">
        <v>120</v>
      </c>
      <c r="O218">
        <v>15</v>
      </c>
      <c r="P218">
        <v>408</v>
      </c>
      <c r="Q218">
        <v>51.18</v>
      </c>
      <c r="R218" t="s">
        <v>41</v>
      </c>
      <c r="S218" t="s">
        <v>31</v>
      </c>
      <c r="T218" t="s">
        <v>60</v>
      </c>
    </row>
    <row r="219" spans="1:20" x14ac:dyDescent="0.35">
      <c r="A219" t="s">
        <v>715</v>
      </c>
      <c r="B219" t="s">
        <v>716</v>
      </c>
      <c r="C219" t="s">
        <v>189</v>
      </c>
      <c r="D219" t="s">
        <v>465</v>
      </c>
      <c r="E219" t="s">
        <v>37</v>
      </c>
      <c r="F219">
        <v>59</v>
      </c>
      <c r="G219" t="s">
        <v>46</v>
      </c>
      <c r="H219" t="s">
        <v>25</v>
      </c>
      <c r="I219" t="s">
        <v>26</v>
      </c>
      <c r="J219" t="s">
        <v>78</v>
      </c>
      <c r="K219" t="s">
        <v>79</v>
      </c>
      <c r="L219" t="s">
        <v>156</v>
      </c>
      <c r="M219">
        <v>2</v>
      </c>
      <c r="N219">
        <v>800</v>
      </c>
      <c r="O219">
        <v>5</v>
      </c>
      <c r="P219">
        <v>1520</v>
      </c>
      <c r="Q219">
        <v>355.67</v>
      </c>
      <c r="R219" t="s">
        <v>50</v>
      </c>
      <c r="S219" t="s">
        <v>31</v>
      </c>
      <c r="T219" t="s">
        <v>32</v>
      </c>
    </row>
    <row r="220" spans="1:20" x14ac:dyDescent="0.35">
      <c r="A220" t="s">
        <v>717</v>
      </c>
      <c r="B220" t="s">
        <v>718</v>
      </c>
      <c r="C220" t="s">
        <v>471</v>
      </c>
      <c r="D220" t="s">
        <v>574</v>
      </c>
      <c r="E220" t="s">
        <v>37</v>
      </c>
      <c r="F220">
        <v>36</v>
      </c>
      <c r="G220" t="s">
        <v>57</v>
      </c>
      <c r="H220" t="s">
        <v>57</v>
      </c>
      <c r="I220" t="s">
        <v>58</v>
      </c>
      <c r="J220" t="s">
        <v>27</v>
      </c>
      <c r="K220" t="s">
        <v>28</v>
      </c>
      <c r="L220" t="s">
        <v>140</v>
      </c>
      <c r="M220">
        <v>5</v>
      </c>
      <c r="N220">
        <v>65000</v>
      </c>
      <c r="O220">
        <v>15</v>
      </c>
      <c r="P220">
        <v>276250</v>
      </c>
      <c r="Q220">
        <v>57305.120000000003</v>
      </c>
      <c r="R220" t="s">
        <v>50</v>
      </c>
      <c r="S220" t="s">
        <v>51</v>
      </c>
      <c r="T220" t="s">
        <v>93</v>
      </c>
    </row>
    <row r="221" spans="1:20" x14ac:dyDescent="0.35">
      <c r="A221" t="s">
        <v>719</v>
      </c>
      <c r="B221" t="s">
        <v>720</v>
      </c>
      <c r="C221" t="s">
        <v>513</v>
      </c>
      <c r="D221" t="s">
        <v>179</v>
      </c>
      <c r="E221" t="s">
        <v>37</v>
      </c>
      <c r="F221">
        <v>60</v>
      </c>
      <c r="G221" t="s">
        <v>86</v>
      </c>
      <c r="H221" t="s">
        <v>87</v>
      </c>
      <c r="I221" t="s">
        <v>88</v>
      </c>
      <c r="J221" t="s">
        <v>27</v>
      </c>
      <c r="K221" t="s">
        <v>28</v>
      </c>
      <c r="L221" t="s">
        <v>73</v>
      </c>
      <c r="M221">
        <v>1</v>
      </c>
      <c r="N221">
        <v>25000</v>
      </c>
      <c r="O221">
        <v>15</v>
      </c>
      <c r="P221">
        <v>21250</v>
      </c>
      <c r="Q221">
        <v>5926.63</v>
      </c>
      <c r="R221" t="s">
        <v>30</v>
      </c>
      <c r="S221" t="s">
        <v>51</v>
      </c>
      <c r="T221" t="s">
        <v>52</v>
      </c>
    </row>
    <row r="222" spans="1:20" x14ac:dyDescent="0.35">
      <c r="A222" t="s">
        <v>721</v>
      </c>
      <c r="B222" t="s">
        <v>722</v>
      </c>
      <c r="C222" t="s">
        <v>440</v>
      </c>
      <c r="D222" t="s">
        <v>285</v>
      </c>
      <c r="E222" t="s">
        <v>23</v>
      </c>
      <c r="F222">
        <v>55</v>
      </c>
      <c r="G222" t="s">
        <v>86</v>
      </c>
      <c r="H222" t="s">
        <v>87</v>
      </c>
      <c r="I222" t="s">
        <v>88</v>
      </c>
      <c r="J222" t="s">
        <v>27</v>
      </c>
      <c r="K222" t="s">
        <v>28</v>
      </c>
      <c r="L222" t="s">
        <v>40</v>
      </c>
      <c r="M222">
        <v>3</v>
      </c>
      <c r="N222">
        <v>2500</v>
      </c>
      <c r="O222">
        <v>0</v>
      </c>
      <c r="P222">
        <v>7500</v>
      </c>
      <c r="Q222">
        <v>737.98</v>
      </c>
      <c r="R222" t="s">
        <v>41</v>
      </c>
      <c r="S222" t="s">
        <v>51</v>
      </c>
      <c r="T222" t="s">
        <v>117</v>
      </c>
    </row>
    <row r="223" spans="1:20" x14ac:dyDescent="0.35">
      <c r="A223" t="s">
        <v>723</v>
      </c>
      <c r="B223" t="s">
        <v>364</v>
      </c>
      <c r="C223" t="s">
        <v>505</v>
      </c>
      <c r="D223" t="s">
        <v>278</v>
      </c>
      <c r="E223" t="s">
        <v>23</v>
      </c>
      <c r="F223">
        <v>54</v>
      </c>
      <c r="G223" t="s">
        <v>46</v>
      </c>
      <c r="H223" t="s">
        <v>25</v>
      </c>
      <c r="I223" t="s">
        <v>26</v>
      </c>
      <c r="J223" t="s">
        <v>47</v>
      </c>
      <c r="K223" t="s">
        <v>48</v>
      </c>
      <c r="L223" t="s">
        <v>215</v>
      </c>
      <c r="M223">
        <v>1</v>
      </c>
      <c r="N223">
        <v>450</v>
      </c>
      <c r="O223">
        <v>5</v>
      </c>
      <c r="P223">
        <v>427.5</v>
      </c>
      <c r="Q223">
        <v>53.14</v>
      </c>
      <c r="R223" t="s">
        <v>81</v>
      </c>
      <c r="S223" t="s">
        <v>51</v>
      </c>
      <c r="T223" t="s">
        <v>60</v>
      </c>
    </row>
    <row r="224" spans="1:20" x14ac:dyDescent="0.35">
      <c r="A224" t="s">
        <v>724</v>
      </c>
      <c r="B224" t="s">
        <v>71</v>
      </c>
      <c r="C224" t="s">
        <v>376</v>
      </c>
      <c r="D224" t="s">
        <v>685</v>
      </c>
      <c r="E224" t="s">
        <v>37</v>
      </c>
      <c r="F224">
        <v>51</v>
      </c>
      <c r="G224" t="s">
        <v>24</v>
      </c>
      <c r="H224" t="s">
        <v>25</v>
      </c>
      <c r="I224" t="s">
        <v>26</v>
      </c>
      <c r="J224" t="s">
        <v>89</v>
      </c>
      <c r="K224" t="s">
        <v>90</v>
      </c>
      <c r="L224" t="s">
        <v>242</v>
      </c>
      <c r="M224">
        <v>2</v>
      </c>
      <c r="N224">
        <v>6000</v>
      </c>
      <c r="O224">
        <v>0</v>
      </c>
      <c r="P224">
        <v>12000</v>
      </c>
      <c r="Q224">
        <v>2239.2600000000002</v>
      </c>
      <c r="R224" t="s">
        <v>59</v>
      </c>
      <c r="S224" t="s">
        <v>51</v>
      </c>
      <c r="T224" t="s">
        <v>93</v>
      </c>
    </row>
    <row r="225" spans="1:20" x14ac:dyDescent="0.35">
      <c r="A225" t="s">
        <v>725</v>
      </c>
      <c r="B225" t="s">
        <v>550</v>
      </c>
      <c r="C225" t="s">
        <v>189</v>
      </c>
      <c r="D225" t="s">
        <v>465</v>
      </c>
      <c r="E225" t="s">
        <v>23</v>
      </c>
      <c r="F225">
        <v>21</v>
      </c>
      <c r="G225" t="s">
        <v>46</v>
      </c>
      <c r="H225" t="s">
        <v>25</v>
      </c>
      <c r="I225" t="s">
        <v>26</v>
      </c>
      <c r="J225" t="s">
        <v>89</v>
      </c>
      <c r="K225" t="s">
        <v>90</v>
      </c>
      <c r="L225" t="s">
        <v>91</v>
      </c>
      <c r="M225">
        <v>1</v>
      </c>
      <c r="N225">
        <v>9000</v>
      </c>
      <c r="O225">
        <v>20</v>
      </c>
      <c r="P225">
        <v>7200</v>
      </c>
      <c r="Q225">
        <v>1272.8699999999999</v>
      </c>
      <c r="R225" t="s">
        <v>59</v>
      </c>
      <c r="S225" t="s">
        <v>92</v>
      </c>
      <c r="T225" t="s">
        <v>93</v>
      </c>
    </row>
    <row r="226" spans="1:20" x14ac:dyDescent="0.35">
      <c r="A226" t="s">
        <v>726</v>
      </c>
      <c r="B226" t="s">
        <v>727</v>
      </c>
      <c r="C226" t="s">
        <v>701</v>
      </c>
      <c r="D226" t="s">
        <v>424</v>
      </c>
      <c r="E226" t="s">
        <v>23</v>
      </c>
      <c r="F226">
        <v>53</v>
      </c>
      <c r="G226" t="s">
        <v>98</v>
      </c>
      <c r="H226" t="s">
        <v>99</v>
      </c>
      <c r="I226" t="s">
        <v>100</v>
      </c>
      <c r="J226" t="s">
        <v>89</v>
      </c>
      <c r="K226" t="s">
        <v>90</v>
      </c>
      <c r="L226" t="s">
        <v>242</v>
      </c>
      <c r="M226">
        <v>3</v>
      </c>
      <c r="N226">
        <v>6000</v>
      </c>
      <c r="O226">
        <v>20</v>
      </c>
      <c r="P226">
        <v>14400</v>
      </c>
      <c r="Q226">
        <v>1692.7</v>
      </c>
      <c r="R226" t="s">
        <v>41</v>
      </c>
      <c r="S226" t="s">
        <v>51</v>
      </c>
      <c r="T226" t="s">
        <v>60</v>
      </c>
    </row>
    <row r="227" spans="1:20" x14ac:dyDescent="0.35">
      <c r="A227" t="s">
        <v>728</v>
      </c>
      <c r="B227" t="s">
        <v>729</v>
      </c>
      <c r="C227" t="s">
        <v>385</v>
      </c>
      <c r="D227" t="s">
        <v>730</v>
      </c>
      <c r="E227" t="s">
        <v>23</v>
      </c>
      <c r="F227">
        <v>31</v>
      </c>
      <c r="G227" t="s">
        <v>38</v>
      </c>
      <c r="H227" t="s">
        <v>39</v>
      </c>
      <c r="I227" t="s">
        <v>26</v>
      </c>
      <c r="J227" t="s">
        <v>78</v>
      </c>
      <c r="K227" t="s">
        <v>79</v>
      </c>
      <c r="L227" t="s">
        <v>80</v>
      </c>
      <c r="M227">
        <v>4</v>
      </c>
      <c r="N227">
        <v>1800</v>
      </c>
      <c r="O227">
        <v>20</v>
      </c>
      <c r="P227">
        <v>5760</v>
      </c>
      <c r="Q227">
        <v>1003.31</v>
      </c>
      <c r="R227" t="s">
        <v>41</v>
      </c>
      <c r="S227" t="s">
        <v>51</v>
      </c>
      <c r="T227" t="s">
        <v>52</v>
      </c>
    </row>
    <row r="228" spans="1:20" x14ac:dyDescent="0.35">
      <c r="A228" t="s">
        <v>731</v>
      </c>
      <c r="B228" t="s">
        <v>732</v>
      </c>
      <c r="C228" t="s">
        <v>530</v>
      </c>
      <c r="D228" t="s">
        <v>113</v>
      </c>
      <c r="E228" t="s">
        <v>37</v>
      </c>
      <c r="F228">
        <v>42</v>
      </c>
      <c r="G228" t="s">
        <v>24</v>
      </c>
      <c r="H228" t="s">
        <v>25</v>
      </c>
      <c r="I228" t="s">
        <v>26</v>
      </c>
      <c r="J228" t="s">
        <v>78</v>
      </c>
      <c r="K228" t="s">
        <v>79</v>
      </c>
      <c r="L228" t="s">
        <v>101</v>
      </c>
      <c r="M228">
        <v>3</v>
      </c>
      <c r="N228">
        <v>3500</v>
      </c>
      <c r="O228">
        <v>15</v>
      </c>
      <c r="P228">
        <v>8925</v>
      </c>
      <c r="Q228">
        <v>2301.15</v>
      </c>
      <c r="R228" t="s">
        <v>30</v>
      </c>
      <c r="S228" t="s">
        <v>51</v>
      </c>
      <c r="T228" t="s">
        <v>60</v>
      </c>
    </row>
    <row r="229" spans="1:20" x14ac:dyDescent="0.35">
      <c r="A229" t="s">
        <v>733</v>
      </c>
      <c r="B229" t="s">
        <v>273</v>
      </c>
      <c r="C229" t="s">
        <v>131</v>
      </c>
      <c r="D229" t="s">
        <v>465</v>
      </c>
      <c r="E229" t="s">
        <v>37</v>
      </c>
      <c r="F229">
        <v>31</v>
      </c>
      <c r="G229" t="s">
        <v>57</v>
      </c>
      <c r="H229" t="s">
        <v>57</v>
      </c>
      <c r="I229" t="s">
        <v>58</v>
      </c>
      <c r="J229" t="s">
        <v>78</v>
      </c>
      <c r="K229" t="s">
        <v>79</v>
      </c>
      <c r="L229" t="s">
        <v>101</v>
      </c>
      <c r="M229">
        <v>4</v>
      </c>
      <c r="N229">
        <v>3500</v>
      </c>
      <c r="O229">
        <v>10</v>
      </c>
      <c r="P229">
        <v>12600</v>
      </c>
      <c r="Q229">
        <v>3475.92</v>
      </c>
      <c r="R229" t="s">
        <v>81</v>
      </c>
      <c r="S229" t="s">
        <v>51</v>
      </c>
      <c r="T229" t="s">
        <v>32</v>
      </c>
    </row>
    <row r="230" spans="1:20" x14ac:dyDescent="0.35">
      <c r="A230" t="s">
        <v>734</v>
      </c>
      <c r="B230" t="s">
        <v>735</v>
      </c>
      <c r="C230" t="s">
        <v>736</v>
      </c>
      <c r="D230" t="s">
        <v>569</v>
      </c>
      <c r="E230" t="s">
        <v>37</v>
      </c>
      <c r="F230">
        <v>45</v>
      </c>
      <c r="G230" t="s">
        <v>114</v>
      </c>
      <c r="H230" t="s">
        <v>115</v>
      </c>
      <c r="I230" t="s">
        <v>88</v>
      </c>
      <c r="J230" t="s">
        <v>89</v>
      </c>
      <c r="K230" t="s">
        <v>90</v>
      </c>
      <c r="L230" t="s">
        <v>242</v>
      </c>
      <c r="M230">
        <v>3</v>
      </c>
      <c r="N230">
        <v>6000</v>
      </c>
      <c r="O230">
        <v>10</v>
      </c>
      <c r="P230">
        <v>16200</v>
      </c>
      <c r="Q230">
        <v>3538.51</v>
      </c>
      <c r="R230" t="s">
        <v>50</v>
      </c>
      <c r="S230" t="s">
        <v>31</v>
      </c>
      <c r="T230" t="s">
        <v>52</v>
      </c>
    </row>
    <row r="231" spans="1:20" x14ac:dyDescent="0.35">
      <c r="A231" t="s">
        <v>737</v>
      </c>
      <c r="B231" t="s">
        <v>738</v>
      </c>
      <c r="C231" t="s">
        <v>474</v>
      </c>
      <c r="D231" t="s">
        <v>560</v>
      </c>
      <c r="E231" t="s">
        <v>23</v>
      </c>
      <c r="F231">
        <v>52</v>
      </c>
      <c r="G231" t="s">
        <v>46</v>
      </c>
      <c r="H231" t="s">
        <v>25</v>
      </c>
      <c r="I231" t="s">
        <v>26</v>
      </c>
      <c r="J231" t="s">
        <v>27</v>
      </c>
      <c r="K231" t="s">
        <v>28</v>
      </c>
      <c r="L231" t="s">
        <v>29</v>
      </c>
      <c r="M231">
        <v>4</v>
      </c>
      <c r="N231">
        <v>12000</v>
      </c>
      <c r="O231">
        <v>5</v>
      </c>
      <c r="P231">
        <v>45600</v>
      </c>
      <c r="Q231">
        <v>7913.85</v>
      </c>
      <c r="R231" t="s">
        <v>59</v>
      </c>
      <c r="S231" t="s">
        <v>51</v>
      </c>
      <c r="T231" t="s">
        <v>52</v>
      </c>
    </row>
    <row r="232" spans="1:20" x14ac:dyDescent="0.35">
      <c r="A232" t="s">
        <v>739</v>
      </c>
      <c r="B232" t="s">
        <v>740</v>
      </c>
      <c r="C232" t="s">
        <v>139</v>
      </c>
      <c r="D232" t="s">
        <v>660</v>
      </c>
      <c r="E232" t="s">
        <v>37</v>
      </c>
      <c r="F232">
        <v>29</v>
      </c>
      <c r="G232" t="s">
        <v>24</v>
      </c>
      <c r="H232" t="s">
        <v>25</v>
      </c>
      <c r="I232" t="s">
        <v>26</v>
      </c>
      <c r="J232" t="s">
        <v>89</v>
      </c>
      <c r="K232" t="s">
        <v>90</v>
      </c>
      <c r="L232" t="s">
        <v>128</v>
      </c>
      <c r="M232">
        <v>4</v>
      </c>
      <c r="N232">
        <v>7000</v>
      </c>
      <c r="O232">
        <v>5</v>
      </c>
      <c r="P232">
        <v>26600</v>
      </c>
      <c r="Q232">
        <v>5841.6</v>
      </c>
      <c r="R232" t="s">
        <v>59</v>
      </c>
      <c r="S232" t="s">
        <v>92</v>
      </c>
      <c r="T232" t="s">
        <v>93</v>
      </c>
    </row>
    <row r="233" spans="1:20" x14ac:dyDescent="0.35">
      <c r="A233" t="s">
        <v>741</v>
      </c>
      <c r="B233" t="s">
        <v>34</v>
      </c>
      <c r="C233" t="s">
        <v>185</v>
      </c>
      <c r="D233" t="s">
        <v>441</v>
      </c>
      <c r="E233" t="s">
        <v>23</v>
      </c>
      <c r="F233">
        <v>38</v>
      </c>
      <c r="G233" t="s">
        <v>46</v>
      </c>
      <c r="H233" t="s">
        <v>25</v>
      </c>
      <c r="I233" t="s">
        <v>26</v>
      </c>
      <c r="J233" t="s">
        <v>27</v>
      </c>
      <c r="K233" t="s">
        <v>28</v>
      </c>
      <c r="L233" t="s">
        <v>140</v>
      </c>
      <c r="M233">
        <v>4</v>
      </c>
      <c r="N233">
        <v>65000</v>
      </c>
      <c r="O233">
        <v>0</v>
      </c>
      <c r="P233">
        <v>260000</v>
      </c>
      <c r="Q233">
        <v>40207.019999999997</v>
      </c>
      <c r="R233" t="s">
        <v>50</v>
      </c>
      <c r="S233" t="s">
        <v>31</v>
      </c>
      <c r="T233" t="s">
        <v>60</v>
      </c>
    </row>
    <row r="234" spans="1:20" x14ac:dyDescent="0.35">
      <c r="A234" t="s">
        <v>742</v>
      </c>
      <c r="B234" t="s">
        <v>743</v>
      </c>
      <c r="C234" t="s">
        <v>55</v>
      </c>
      <c r="D234" t="s">
        <v>109</v>
      </c>
      <c r="E234" t="s">
        <v>23</v>
      </c>
      <c r="F234">
        <v>44</v>
      </c>
      <c r="G234" t="s">
        <v>86</v>
      </c>
      <c r="H234" t="s">
        <v>87</v>
      </c>
      <c r="I234" t="s">
        <v>88</v>
      </c>
      <c r="J234" t="s">
        <v>27</v>
      </c>
      <c r="K234" t="s">
        <v>28</v>
      </c>
      <c r="L234" t="s">
        <v>29</v>
      </c>
      <c r="M234">
        <v>4</v>
      </c>
      <c r="N234">
        <v>12000</v>
      </c>
      <c r="O234">
        <v>10</v>
      </c>
      <c r="P234">
        <v>43200</v>
      </c>
      <c r="Q234">
        <v>5116.8</v>
      </c>
      <c r="R234" t="s">
        <v>50</v>
      </c>
      <c r="S234" t="s">
        <v>31</v>
      </c>
      <c r="T234" t="s">
        <v>60</v>
      </c>
    </row>
    <row r="235" spans="1:20" x14ac:dyDescent="0.35">
      <c r="A235" t="s">
        <v>744</v>
      </c>
      <c r="B235" t="s">
        <v>745</v>
      </c>
      <c r="C235" t="s">
        <v>291</v>
      </c>
      <c r="D235" t="s">
        <v>205</v>
      </c>
      <c r="E235" t="s">
        <v>37</v>
      </c>
      <c r="F235">
        <v>39</v>
      </c>
      <c r="G235" t="s">
        <v>46</v>
      </c>
      <c r="H235" t="s">
        <v>25</v>
      </c>
      <c r="I235" t="s">
        <v>26</v>
      </c>
      <c r="J235" t="s">
        <v>89</v>
      </c>
      <c r="K235" t="s">
        <v>90</v>
      </c>
      <c r="L235" t="s">
        <v>242</v>
      </c>
      <c r="M235">
        <v>1</v>
      </c>
      <c r="N235">
        <v>6000</v>
      </c>
      <c r="O235">
        <v>5</v>
      </c>
      <c r="P235">
        <v>5700</v>
      </c>
      <c r="Q235">
        <v>889.34</v>
      </c>
      <c r="R235" t="s">
        <v>81</v>
      </c>
      <c r="S235" t="s">
        <v>51</v>
      </c>
      <c r="T235" t="s">
        <v>32</v>
      </c>
    </row>
    <row r="236" spans="1:20" x14ac:dyDescent="0.35">
      <c r="A236" t="s">
        <v>746</v>
      </c>
      <c r="B236" t="s">
        <v>649</v>
      </c>
      <c r="C236" t="s">
        <v>488</v>
      </c>
      <c r="D236" t="s">
        <v>230</v>
      </c>
      <c r="E236" t="s">
        <v>23</v>
      </c>
      <c r="F236">
        <v>47</v>
      </c>
      <c r="G236" t="s">
        <v>57</v>
      </c>
      <c r="H236" t="s">
        <v>57</v>
      </c>
      <c r="I236" t="s">
        <v>58</v>
      </c>
      <c r="J236" t="s">
        <v>78</v>
      </c>
      <c r="K236" t="s">
        <v>79</v>
      </c>
      <c r="L236" t="s">
        <v>80</v>
      </c>
      <c r="M236">
        <v>2</v>
      </c>
      <c r="N236">
        <v>1800</v>
      </c>
      <c r="O236">
        <v>10</v>
      </c>
      <c r="P236">
        <v>3240</v>
      </c>
      <c r="Q236">
        <v>466.4</v>
      </c>
      <c r="R236" t="s">
        <v>59</v>
      </c>
      <c r="S236" t="s">
        <v>92</v>
      </c>
      <c r="T236" t="s">
        <v>65</v>
      </c>
    </row>
    <row r="237" spans="1:20" x14ac:dyDescent="0.35">
      <c r="A237" t="s">
        <v>747</v>
      </c>
      <c r="B237" t="s">
        <v>748</v>
      </c>
      <c r="C237" t="s">
        <v>327</v>
      </c>
      <c r="D237" t="s">
        <v>424</v>
      </c>
      <c r="E237" t="s">
        <v>23</v>
      </c>
      <c r="F237">
        <v>45</v>
      </c>
      <c r="G237" t="s">
        <v>24</v>
      </c>
      <c r="H237" t="s">
        <v>25</v>
      </c>
      <c r="I237" t="s">
        <v>26</v>
      </c>
      <c r="J237" t="s">
        <v>27</v>
      </c>
      <c r="K237" t="s">
        <v>28</v>
      </c>
      <c r="L237" t="s">
        <v>140</v>
      </c>
      <c r="M237">
        <v>5</v>
      </c>
      <c r="N237">
        <v>65000</v>
      </c>
      <c r="O237">
        <v>10</v>
      </c>
      <c r="P237">
        <v>292500</v>
      </c>
      <c r="Q237">
        <v>61286.96</v>
      </c>
      <c r="R237" t="s">
        <v>81</v>
      </c>
      <c r="S237" t="s">
        <v>31</v>
      </c>
      <c r="T237" t="s">
        <v>60</v>
      </c>
    </row>
    <row r="238" spans="1:20" x14ac:dyDescent="0.35">
      <c r="A238" t="s">
        <v>749</v>
      </c>
      <c r="B238" t="s">
        <v>423</v>
      </c>
      <c r="C238" t="s">
        <v>159</v>
      </c>
      <c r="D238" t="s">
        <v>457</v>
      </c>
      <c r="E238" t="s">
        <v>37</v>
      </c>
      <c r="F238">
        <v>38</v>
      </c>
      <c r="G238" t="s">
        <v>98</v>
      </c>
      <c r="H238" t="s">
        <v>99</v>
      </c>
      <c r="I238" t="s">
        <v>100</v>
      </c>
      <c r="J238" t="s">
        <v>78</v>
      </c>
      <c r="K238" t="s">
        <v>79</v>
      </c>
      <c r="L238" t="s">
        <v>80</v>
      </c>
      <c r="M238">
        <v>2</v>
      </c>
      <c r="N238">
        <v>1800</v>
      </c>
      <c r="O238">
        <v>20</v>
      </c>
      <c r="P238">
        <v>2880</v>
      </c>
      <c r="Q238">
        <v>366.27</v>
      </c>
      <c r="R238" t="s">
        <v>50</v>
      </c>
      <c r="S238" t="s">
        <v>51</v>
      </c>
      <c r="T238" t="s">
        <v>117</v>
      </c>
    </row>
    <row r="239" spans="1:20" x14ac:dyDescent="0.35">
      <c r="A239" t="s">
        <v>750</v>
      </c>
      <c r="B239" t="s">
        <v>751</v>
      </c>
      <c r="C239" t="s">
        <v>108</v>
      </c>
      <c r="D239" t="s">
        <v>752</v>
      </c>
      <c r="E239" t="s">
        <v>23</v>
      </c>
      <c r="F239">
        <v>43</v>
      </c>
      <c r="G239" t="s">
        <v>114</v>
      </c>
      <c r="H239" t="s">
        <v>115</v>
      </c>
      <c r="I239" t="s">
        <v>88</v>
      </c>
      <c r="J239" t="s">
        <v>47</v>
      </c>
      <c r="K239" t="s">
        <v>48</v>
      </c>
      <c r="L239" t="s">
        <v>49</v>
      </c>
      <c r="M239">
        <v>3</v>
      </c>
      <c r="N239">
        <v>150</v>
      </c>
      <c r="O239">
        <v>10</v>
      </c>
      <c r="P239">
        <v>405</v>
      </c>
      <c r="Q239">
        <v>39.909999999999997</v>
      </c>
      <c r="R239" t="s">
        <v>59</v>
      </c>
      <c r="S239" t="s">
        <v>92</v>
      </c>
      <c r="T239" t="s">
        <v>65</v>
      </c>
    </row>
    <row r="240" spans="1:20" x14ac:dyDescent="0.35">
      <c r="A240" t="s">
        <v>753</v>
      </c>
      <c r="B240" t="s">
        <v>432</v>
      </c>
      <c r="C240" t="s">
        <v>754</v>
      </c>
      <c r="D240" t="s">
        <v>514</v>
      </c>
      <c r="E240" t="s">
        <v>37</v>
      </c>
      <c r="F240">
        <v>37</v>
      </c>
      <c r="G240" t="s">
        <v>38</v>
      </c>
      <c r="H240" t="s">
        <v>39</v>
      </c>
      <c r="I240" t="s">
        <v>26</v>
      </c>
      <c r="J240" t="s">
        <v>27</v>
      </c>
      <c r="K240" t="s">
        <v>28</v>
      </c>
      <c r="L240" t="s">
        <v>73</v>
      </c>
      <c r="M240">
        <v>3</v>
      </c>
      <c r="N240">
        <v>25000</v>
      </c>
      <c r="O240">
        <v>20</v>
      </c>
      <c r="P240">
        <v>60000</v>
      </c>
      <c r="Q240">
        <v>16081.53</v>
      </c>
      <c r="R240" t="s">
        <v>59</v>
      </c>
      <c r="S240" t="s">
        <v>51</v>
      </c>
      <c r="T240" t="s">
        <v>117</v>
      </c>
    </row>
    <row r="241" spans="1:20" x14ac:dyDescent="0.35">
      <c r="A241" t="s">
        <v>755</v>
      </c>
      <c r="B241" t="s">
        <v>372</v>
      </c>
      <c r="C241" t="s">
        <v>542</v>
      </c>
      <c r="D241" t="s">
        <v>413</v>
      </c>
      <c r="E241" t="s">
        <v>37</v>
      </c>
      <c r="F241">
        <v>47</v>
      </c>
      <c r="G241" t="s">
        <v>86</v>
      </c>
      <c r="H241" t="s">
        <v>87</v>
      </c>
      <c r="I241" t="s">
        <v>88</v>
      </c>
      <c r="J241" t="s">
        <v>78</v>
      </c>
      <c r="K241" t="s">
        <v>79</v>
      </c>
      <c r="L241" t="s">
        <v>101</v>
      </c>
      <c r="M241">
        <v>3</v>
      </c>
      <c r="N241">
        <v>3500</v>
      </c>
      <c r="O241">
        <v>10</v>
      </c>
      <c r="P241">
        <v>9450</v>
      </c>
      <c r="Q241">
        <v>2468.4699999999998</v>
      </c>
      <c r="R241" t="s">
        <v>59</v>
      </c>
      <c r="S241" t="s">
        <v>51</v>
      </c>
      <c r="T241" t="s">
        <v>65</v>
      </c>
    </row>
    <row r="242" spans="1:20" x14ac:dyDescent="0.35">
      <c r="A242" t="s">
        <v>756</v>
      </c>
      <c r="B242" t="s">
        <v>757</v>
      </c>
      <c r="C242" t="s">
        <v>758</v>
      </c>
      <c r="D242" t="s">
        <v>193</v>
      </c>
      <c r="E242" t="s">
        <v>37</v>
      </c>
      <c r="F242">
        <v>59</v>
      </c>
      <c r="G242" t="s">
        <v>38</v>
      </c>
      <c r="H242" t="s">
        <v>39</v>
      </c>
      <c r="I242" t="s">
        <v>26</v>
      </c>
      <c r="J242" t="s">
        <v>78</v>
      </c>
      <c r="K242" t="s">
        <v>79</v>
      </c>
      <c r="L242" t="s">
        <v>156</v>
      </c>
      <c r="M242">
        <v>5</v>
      </c>
      <c r="N242">
        <v>800</v>
      </c>
      <c r="O242">
        <v>10</v>
      </c>
      <c r="P242">
        <v>3600</v>
      </c>
      <c r="Q242">
        <v>770.56</v>
      </c>
      <c r="R242" t="s">
        <v>41</v>
      </c>
      <c r="S242" t="s">
        <v>51</v>
      </c>
      <c r="T242" t="s">
        <v>32</v>
      </c>
    </row>
    <row r="243" spans="1:20" x14ac:dyDescent="0.35">
      <c r="A243" t="s">
        <v>759</v>
      </c>
      <c r="B243" t="s">
        <v>470</v>
      </c>
      <c r="C243" t="s">
        <v>760</v>
      </c>
      <c r="D243" t="s">
        <v>132</v>
      </c>
      <c r="E243" t="s">
        <v>23</v>
      </c>
      <c r="F243">
        <v>58</v>
      </c>
      <c r="G243" t="s">
        <v>126</v>
      </c>
      <c r="H243" t="s">
        <v>127</v>
      </c>
      <c r="I243" t="s">
        <v>88</v>
      </c>
      <c r="J243" t="s">
        <v>47</v>
      </c>
      <c r="K243" t="s">
        <v>48</v>
      </c>
      <c r="L243" t="s">
        <v>215</v>
      </c>
      <c r="M243">
        <v>5</v>
      </c>
      <c r="N243">
        <v>450</v>
      </c>
      <c r="O243">
        <v>5</v>
      </c>
      <c r="P243">
        <v>2137.5</v>
      </c>
      <c r="Q243">
        <v>588.71</v>
      </c>
      <c r="R243" t="s">
        <v>41</v>
      </c>
      <c r="S243" t="s">
        <v>31</v>
      </c>
      <c r="T243" t="s">
        <v>117</v>
      </c>
    </row>
    <row r="244" spans="1:20" x14ac:dyDescent="0.35">
      <c r="A244" t="s">
        <v>761</v>
      </c>
      <c r="B244" t="s">
        <v>153</v>
      </c>
      <c r="C244" t="s">
        <v>260</v>
      </c>
      <c r="D244" t="s">
        <v>365</v>
      </c>
      <c r="E244" t="s">
        <v>23</v>
      </c>
      <c r="F244">
        <v>33</v>
      </c>
      <c r="G244" t="s">
        <v>114</v>
      </c>
      <c r="H244" t="s">
        <v>115</v>
      </c>
      <c r="I244" t="s">
        <v>88</v>
      </c>
      <c r="J244" t="s">
        <v>78</v>
      </c>
      <c r="K244" t="s">
        <v>79</v>
      </c>
      <c r="L244" t="s">
        <v>156</v>
      </c>
      <c r="M244">
        <v>4</v>
      </c>
      <c r="N244">
        <v>800</v>
      </c>
      <c r="O244">
        <v>10</v>
      </c>
      <c r="P244">
        <v>2880</v>
      </c>
      <c r="Q244">
        <v>799.28</v>
      </c>
      <c r="R244" t="s">
        <v>81</v>
      </c>
      <c r="S244" t="s">
        <v>51</v>
      </c>
      <c r="T244" t="s">
        <v>32</v>
      </c>
    </row>
    <row r="245" spans="1:20" x14ac:dyDescent="0.35">
      <c r="A245" t="s">
        <v>762</v>
      </c>
      <c r="B245" t="s">
        <v>153</v>
      </c>
      <c r="C245" t="s">
        <v>763</v>
      </c>
      <c r="D245" t="s">
        <v>764</v>
      </c>
      <c r="E245" t="s">
        <v>37</v>
      </c>
      <c r="F245">
        <v>41</v>
      </c>
      <c r="G245" t="s">
        <v>86</v>
      </c>
      <c r="H245" t="s">
        <v>87</v>
      </c>
      <c r="I245" t="s">
        <v>88</v>
      </c>
      <c r="J245" t="s">
        <v>89</v>
      </c>
      <c r="K245" t="s">
        <v>90</v>
      </c>
      <c r="L245" t="s">
        <v>128</v>
      </c>
      <c r="M245">
        <v>1</v>
      </c>
      <c r="N245">
        <v>7000</v>
      </c>
      <c r="O245">
        <v>15</v>
      </c>
      <c r="P245">
        <v>5950</v>
      </c>
      <c r="Q245">
        <v>1234.8599999999999</v>
      </c>
      <c r="R245" t="s">
        <v>41</v>
      </c>
      <c r="S245" t="s">
        <v>51</v>
      </c>
      <c r="T245" t="s">
        <v>60</v>
      </c>
    </row>
    <row r="246" spans="1:20" x14ac:dyDescent="0.35">
      <c r="A246" t="s">
        <v>765</v>
      </c>
      <c r="B246" t="s">
        <v>576</v>
      </c>
      <c r="C246" t="s">
        <v>185</v>
      </c>
      <c r="D246" t="s">
        <v>679</v>
      </c>
      <c r="E246" t="s">
        <v>37</v>
      </c>
      <c r="F246">
        <v>30</v>
      </c>
      <c r="G246" t="s">
        <v>57</v>
      </c>
      <c r="H246" t="s">
        <v>57</v>
      </c>
      <c r="I246" t="s">
        <v>58</v>
      </c>
      <c r="J246" t="s">
        <v>27</v>
      </c>
      <c r="K246" t="s">
        <v>28</v>
      </c>
      <c r="L246" t="s">
        <v>73</v>
      </c>
      <c r="M246">
        <v>3</v>
      </c>
      <c r="N246">
        <v>25000</v>
      </c>
      <c r="O246">
        <v>20</v>
      </c>
      <c r="P246">
        <v>60000</v>
      </c>
      <c r="Q246">
        <v>16033.84</v>
      </c>
      <c r="R246" t="s">
        <v>81</v>
      </c>
      <c r="S246" t="s">
        <v>51</v>
      </c>
      <c r="T246" t="s">
        <v>52</v>
      </c>
    </row>
    <row r="247" spans="1:20" x14ac:dyDescent="0.35">
      <c r="A247" t="s">
        <v>766</v>
      </c>
      <c r="B247" t="s">
        <v>767</v>
      </c>
      <c r="C247" t="s">
        <v>711</v>
      </c>
      <c r="D247" t="s">
        <v>581</v>
      </c>
      <c r="E247" t="s">
        <v>37</v>
      </c>
      <c r="F247">
        <v>37</v>
      </c>
      <c r="G247" t="s">
        <v>57</v>
      </c>
      <c r="H247" t="s">
        <v>57</v>
      </c>
      <c r="I247" t="s">
        <v>58</v>
      </c>
      <c r="J247" t="s">
        <v>27</v>
      </c>
      <c r="K247" t="s">
        <v>28</v>
      </c>
      <c r="L247" t="s">
        <v>140</v>
      </c>
      <c r="M247">
        <v>1</v>
      </c>
      <c r="N247">
        <v>65000</v>
      </c>
      <c r="O247">
        <v>20</v>
      </c>
      <c r="P247">
        <v>52000</v>
      </c>
      <c r="Q247">
        <v>6099.8</v>
      </c>
      <c r="R247" t="s">
        <v>81</v>
      </c>
      <c r="S247" t="s">
        <v>51</v>
      </c>
      <c r="T247" t="s">
        <v>117</v>
      </c>
    </row>
    <row r="248" spans="1:20" x14ac:dyDescent="0.35">
      <c r="A248" t="s">
        <v>768</v>
      </c>
      <c r="B248" t="s">
        <v>769</v>
      </c>
      <c r="C248" t="s">
        <v>124</v>
      </c>
      <c r="D248" t="s">
        <v>770</v>
      </c>
      <c r="E248" t="s">
        <v>37</v>
      </c>
      <c r="F248">
        <v>33</v>
      </c>
      <c r="G248" t="s">
        <v>38</v>
      </c>
      <c r="H248" t="s">
        <v>39</v>
      </c>
      <c r="I248" t="s">
        <v>26</v>
      </c>
      <c r="J248" t="s">
        <v>27</v>
      </c>
      <c r="K248" t="s">
        <v>28</v>
      </c>
      <c r="L248" t="s">
        <v>40</v>
      </c>
      <c r="M248">
        <v>1</v>
      </c>
      <c r="N248">
        <v>2500</v>
      </c>
      <c r="O248">
        <v>15</v>
      </c>
      <c r="P248">
        <v>2125</v>
      </c>
      <c r="Q248">
        <v>539.4</v>
      </c>
      <c r="R248" t="s">
        <v>41</v>
      </c>
      <c r="S248" t="s">
        <v>92</v>
      </c>
      <c r="T248" t="s">
        <v>93</v>
      </c>
    </row>
    <row r="249" spans="1:20" x14ac:dyDescent="0.35">
      <c r="A249" t="s">
        <v>771</v>
      </c>
      <c r="B249" t="s">
        <v>772</v>
      </c>
      <c r="C249" t="s">
        <v>773</v>
      </c>
      <c r="D249" t="s">
        <v>774</v>
      </c>
      <c r="E249" t="s">
        <v>23</v>
      </c>
      <c r="F249">
        <v>39</v>
      </c>
      <c r="G249" t="s">
        <v>46</v>
      </c>
      <c r="H249" t="s">
        <v>25</v>
      </c>
      <c r="I249" t="s">
        <v>26</v>
      </c>
      <c r="J249" t="s">
        <v>78</v>
      </c>
      <c r="K249" t="s">
        <v>79</v>
      </c>
      <c r="L249" t="s">
        <v>101</v>
      </c>
      <c r="M249">
        <v>1</v>
      </c>
      <c r="N249">
        <v>3500</v>
      </c>
      <c r="O249">
        <v>15</v>
      </c>
      <c r="P249">
        <v>2975</v>
      </c>
      <c r="Q249">
        <v>630.41</v>
      </c>
      <c r="R249" t="s">
        <v>81</v>
      </c>
      <c r="S249" t="s">
        <v>51</v>
      </c>
      <c r="T249" t="s">
        <v>93</v>
      </c>
    </row>
    <row r="250" spans="1:20" x14ac:dyDescent="0.35">
      <c r="A250" t="s">
        <v>775</v>
      </c>
      <c r="B250" t="s">
        <v>576</v>
      </c>
      <c r="C250" t="s">
        <v>301</v>
      </c>
      <c r="D250" t="s">
        <v>292</v>
      </c>
      <c r="E250" t="s">
        <v>23</v>
      </c>
      <c r="F250">
        <v>27</v>
      </c>
      <c r="G250" t="s">
        <v>24</v>
      </c>
      <c r="H250" t="s">
        <v>25</v>
      </c>
      <c r="I250" t="s">
        <v>26</v>
      </c>
      <c r="J250" t="s">
        <v>78</v>
      </c>
      <c r="K250" t="s">
        <v>79</v>
      </c>
      <c r="L250" t="s">
        <v>156</v>
      </c>
      <c r="M250">
        <v>3</v>
      </c>
      <c r="N250">
        <v>800</v>
      </c>
      <c r="O250">
        <v>15</v>
      </c>
      <c r="P250">
        <v>2040</v>
      </c>
      <c r="Q250">
        <v>215.95</v>
      </c>
      <c r="R250" t="s">
        <v>81</v>
      </c>
      <c r="S250" t="s">
        <v>92</v>
      </c>
      <c r="T250" t="s">
        <v>65</v>
      </c>
    </row>
    <row r="251" spans="1:20" x14ac:dyDescent="0.35">
      <c r="A251" t="s">
        <v>776</v>
      </c>
      <c r="B251" t="s">
        <v>507</v>
      </c>
      <c r="C251" t="s">
        <v>486</v>
      </c>
      <c r="D251" t="s">
        <v>577</v>
      </c>
      <c r="E251" t="s">
        <v>37</v>
      </c>
      <c r="F251">
        <v>46</v>
      </c>
      <c r="G251" t="s">
        <v>57</v>
      </c>
      <c r="H251" t="s">
        <v>57</v>
      </c>
      <c r="I251" t="s">
        <v>58</v>
      </c>
      <c r="J251" t="s">
        <v>27</v>
      </c>
      <c r="K251" t="s">
        <v>28</v>
      </c>
      <c r="L251" t="s">
        <v>29</v>
      </c>
      <c r="M251">
        <v>4</v>
      </c>
      <c r="N251">
        <v>12000</v>
      </c>
      <c r="O251">
        <v>10</v>
      </c>
      <c r="P251">
        <v>43200</v>
      </c>
      <c r="Q251">
        <v>10787.54</v>
      </c>
      <c r="R251" t="s">
        <v>50</v>
      </c>
      <c r="S251" t="s">
        <v>51</v>
      </c>
      <c r="T251" t="s">
        <v>52</v>
      </c>
    </row>
    <row r="252" spans="1:20" x14ac:dyDescent="0.35">
      <c r="A252" t="s">
        <v>777</v>
      </c>
      <c r="B252" t="s">
        <v>672</v>
      </c>
      <c r="C252" t="s">
        <v>316</v>
      </c>
      <c r="D252" t="s">
        <v>449</v>
      </c>
      <c r="E252" t="s">
        <v>23</v>
      </c>
      <c r="F252">
        <v>54</v>
      </c>
      <c r="G252" t="s">
        <v>98</v>
      </c>
      <c r="H252" t="s">
        <v>99</v>
      </c>
      <c r="I252" t="s">
        <v>100</v>
      </c>
      <c r="J252" t="s">
        <v>78</v>
      </c>
      <c r="K252" t="s">
        <v>79</v>
      </c>
      <c r="L252" t="s">
        <v>80</v>
      </c>
      <c r="M252">
        <v>4</v>
      </c>
      <c r="N252">
        <v>1800</v>
      </c>
      <c r="O252">
        <v>20</v>
      </c>
      <c r="P252">
        <v>5760</v>
      </c>
      <c r="Q252">
        <v>790.5</v>
      </c>
      <c r="R252" t="s">
        <v>41</v>
      </c>
      <c r="S252" t="s">
        <v>51</v>
      </c>
      <c r="T252" t="s">
        <v>93</v>
      </c>
    </row>
    <row r="253" spans="1:20" x14ac:dyDescent="0.35">
      <c r="A253" t="s">
        <v>778</v>
      </c>
      <c r="B253" t="s">
        <v>779</v>
      </c>
      <c r="C253" t="s">
        <v>488</v>
      </c>
      <c r="D253" t="s">
        <v>253</v>
      </c>
      <c r="E253" t="s">
        <v>23</v>
      </c>
      <c r="F253">
        <v>27</v>
      </c>
      <c r="G253" t="s">
        <v>57</v>
      </c>
      <c r="H253" t="s">
        <v>57</v>
      </c>
      <c r="I253" t="s">
        <v>58</v>
      </c>
      <c r="J253" t="s">
        <v>27</v>
      </c>
      <c r="K253" t="s">
        <v>28</v>
      </c>
      <c r="L253" t="s">
        <v>140</v>
      </c>
      <c r="M253">
        <v>2</v>
      </c>
      <c r="N253">
        <v>65000</v>
      </c>
      <c r="O253">
        <v>5</v>
      </c>
      <c r="P253">
        <v>123500</v>
      </c>
      <c r="Q253">
        <v>27050.7</v>
      </c>
      <c r="R253" t="s">
        <v>81</v>
      </c>
      <c r="S253" t="s">
        <v>51</v>
      </c>
      <c r="T253" t="s">
        <v>60</v>
      </c>
    </row>
    <row r="254" spans="1:20" x14ac:dyDescent="0.35">
      <c r="A254" t="s">
        <v>780</v>
      </c>
      <c r="B254" t="s">
        <v>612</v>
      </c>
      <c r="C254" t="s">
        <v>513</v>
      </c>
      <c r="D254" t="s">
        <v>677</v>
      </c>
      <c r="E254" t="s">
        <v>23</v>
      </c>
      <c r="F254">
        <v>55</v>
      </c>
      <c r="G254" t="s">
        <v>57</v>
      </c>
      <c r="H254" t="s">
        <v>57</v>
      </c>
      <c r="I254" t="s">
        <v>58</v>
      </c>
      <c r="J254" t="s">
        <v>78</v>
      </c>
      <c r="K254" t="s">
        <v>79</v>
      </c>
      <c r="L254" t="s">
        <v>156</v>
      </c>
      <c r="M254">
        <v>3</v>
      </c>
      <c r="N254">
        <v>800</v>
      </c>
      <c r="O254">
        <v>20</v>
      </c>
      <c r="P254">
        <v>1920</v>
      </c>
      <c r="Q254">
        <v>459.94</v>
      </c>
      <c r="R254" t="s">
        <v>41</v>
      </c>
      <c r="S254" t="s">
        <v>51</v>
      </c>
      <c r="T254" t="s">
        <v>60</v>
      </c>
    </row>
    <row r="255" spans="1:20" x14ac:dyDescent="0.35">
      <c r="A255" t="s">
        <v>781</v>
      </c>
      <c r="B255" t="s">
        <v>463</v>
      </c>
      <c r="C255" t="s">
        <v>281</v>
      </c>
      <c r="D255" t="s">
        <v>413</v>
      </c>
      <c r="E255" t="s">
        <v>37</v>
      </c>
      <c r="F255">
        <v>27</v>
      </c>
      <c r="G255" t="s">
        <v>38</v>
      </c>
      <c r="H255" t="s">
        <v>39</v>
      </c>
      <c r="I255" t="s">
        <v>26</v>
      </c>
      <c r="J255" t="s">
        <v>27</v>
      </c>
      <c r="K255" t="s">
        <v>28</v>
      </c>
      <c r="L255" t="s">
        <v>73</v>
      </c>
      <c r="M255">
        <v>3</v>
      </c>
      <c r="N255">
        <v>25000</v>
      </c>
      <c r="O255">
        <v>10</v>
      </c>
      <c r="P255">
        <v>67500</v>
      </c>
      <c r="Q255">
        <v>13668.61</v>
      </c>
      <c r="R255" t="s">
        <v>81</v>
      </c>
      <c r="S255" t="s">
        <v>51</v>
      </c>
      <c r="T255" t="s">
        <v>60</v>
      </c>
    </row>
    <row r="256" spans="1:20" x14ac:dyDescent="0.35">
      <c r="A256" t="s">
        <v>782</v>
      </c>
      <c r="B256" t="s">
        <v>783</v>
      </c>
      <c r="C256" t="s">
        <v>260</v>
      </c>
      <c r="D256" t="s">
        <v>457</v>
      </c>
      <c r="E256" t="s">
        <v>37</v>
      </c>
      <c r="F256">
        <v>29</v>
      </c>
      <c r="G256" t="s">
        <v>46</v>
      </c>
      <c r="H256" t="s">
        <v>25</v>
      </c>
      <c r="I256" t="s">
        <v>26</v>
      </c>
      <c r="J256" t="s">
        <v>78</v>
      </c>
      <c r="K256" t="s">
        <v>79</v>
      </c>
      <c r="L256" t="s">
        <v>156</v>
      </c>
      <c r="M256">
        <v>1</v>
      </c>
      <c r="N256">
        <v>800</v>
      </c>
      <c r="O256">
        <v>20</v>
      </c>
      <c r="P256">
        <v>640</v>
      </c>
      <c r="Q256">
        <v>92.69</v>
      </c>
      <c r="R256" t="s">
        <v>81</v>
      </c>
      <c r="S256" t="s">
        <v>31</v>
      </c>
      <c r="T256" t="s">
        <v>93</v>
      </c>
    </row>
    <row r="257" spans="1:20" x14ac:dyDescent="0.35">
      <c r="A257" t="s">
        <v>784</v>
      </c>
      <c r="B257" t="s">
        <v>785</v>
      </c>
      <c r="C257" t="s">
        <v>773</v>
      </c>
      <c r="D257" t="s">
        <v>786</v>
      </c>
      <c r="E257" t="s">
        <v>23</v>
      </c>
      <c r="F257">
        <v>22</v>
      </c>
      <c r="G257" t="s">
        <v>98</v>
      </c>
      <c r="H257" t="s">
        <v>99</v>
      </c>
      <c r="I257" t="s">
        <v>100</v>
      </c>
      <c r="J257" t="s">
        <v>78</v>
      </c>
      <c r="K257" t="s">
        <v>79</v>
      </c>
      <c r="L257" t="s">
        <v>101</v>
      </c>
      <c r="M257">
        <v>3</v>
      </c>
      <c r="N257">
        <v>3500</v>
      </c>
      <c r="O257">
        <v>10</v>
      </c>
      <c r="P257">
        <v>9450</v>
      </c>
      <c r="Q257">
        <v>1673.9</v>
      </c>
      <c r="R257" t="s">
        <v>81</v>
      </c>
      <c r="S257" t="s">
        <v>92</v>
      </c>
      <c r="T257" t="s">
        <v>32</v>
      </c>
    </row>
    <row r="258" spans="1:20" x14ac:dyDescent="0.35">
      <c r="A258" t="s">
        <v>787</v>
      </c>
      <c r="B258" t="s">
        <v>323</v>
      </c>
      <c r="C258" t="s">
        <v>361</v>
      </c>
      <c r="D258" t="s">
        <v>477</v>
      </c>
      <c r="E258" t="s">
        <v>23</v>
      </c>
      <c r="F258">
        <v>33</v>
      </c>
      <c r="G258" t="s">
        <v>24</v>
      </c>
      <c r="H258" t="s">
        <v>25</v>
      </c>
      <c r="I258" t="s">
        <v>26</v>
      </c>
      <c r="J258" t="s">
        <v>78</v>
      </c>
      <c r="K258" t="s">
        <v>79</v>
      </c>
      <c r="L258" t="s">
        <v>80</v>
      </c>
      <c r="M258">
        <v>1</v>
      </c>
      <c r="N258">
        <v>1800</v>
      </c>
      <c r="O258">
        <v>0</v>
      </c>
      <c r="P258">
        <v>1800</v>
      </c>
      <c r="Q258">
        <v>489.9</v>
      </c>
      <c r="R258" t="s">
        <v>81</v>
      </c>
      <c r="S258" t="s">
        <v>51</v>
      </c>
      <c r="T258" t="s">
        <v>117</v>
      </c>
    </row>
    <row r="259" spans="1:20" x14ac:dyDescent="0.35">
      <c r="A259" t="s">
        <v>788</v>
      </c>
      <c r="B259" t="s">
        <v>789</v>
      </c>
      <c r="C259" t="s">
        <v>84</v>
      </c>
      <c r="D259" t="s">
        <v>790</v>
      </c>
      <c r="E259" t="s">
        <v>23</v>
      </c>
      <c r="F259">
        <v>54</v>
      </c>
      <c r="G259" t="s">
        <v>57</v>
      </c>
      <c r="H259" t="s">
        <v>57</v>
      </c>
      <c r="I259" t="s">
        <v>58</v>
      </c>
      <c r="J259" t="s">
        <v>47</v>
      </c>
      <c r="K259" t="s">
        <v>48</v>
      </c>
      <c r="L259" t="s">
        <v>49</v>
      </c>
      <c r="M259">
        <v>1</v>
      </c>
      <c r="N259">
        <v>150</v>
      </c>
      <c r="O259">
        <v>20</v>
      </c>
      <c r="P259">
        <v>120</v>
      </c>
      <c r="Q259">
        <v>33.14</v>
      </c>
      <c r="R259" t="s">
        <v>59</v>
      </c>
      <c r="S259" t="s">
        <v>51</v>
      </c>
      <c r="T259" t="s">
        <v>52</v>
      </c>
    </row>
    <row r="260" spans="1:20" x14ac:dyDescent="0.35">
      <c r="A260" t="s">
        <v>791</v>
      </c>
      <c r="B260" t="s">
        <v>792</v>
      </c>
      <c r="C260" t="s">
        <v>793</v>
      </c>
      <c r="D260" t="s">
        <v>36</v>
      </c>
      <c r="E260" t="s">
        <v>37</v>
      </c>
      <c r="F260">
        <v>23</v>
      </c>
      <c r="G260" t="s">
        <v>46</v>
      </c>
      <c r="H260" t="s">
        <v>25</v>
      </c>
      <c r="I260" t="s">
        <v>26</v>
      </c>
      <c r="J260" t="s">
        <v>27</v>
      </c>
      <c r="K260" t="s">
        <v>28</v>
      </c>
      <c r="L260" t="s">
        <v>73</v>
      </c>
      <c r="M260">
        <v>4</v>
      </c>
      <c r="N260">
        <v>25000</v>
      </c>
      <c r="O260">
        <v>10</v>
      </c>
      <c r="P260">
        <v>90000</v>
      </c>
      <c r="Q260">
        <v>21287.11</v>
      </c>
      <c r="R260" t="s">
        <v>50</v>
      </c>
      <c r="S260" t="s">
        <v>51</v>
      </c>
      <c r="T260" t="s">
        <v>65</v>
      </c>
    </row>
    <row r="261" spans="1:20" x14ac:dyDescent="0.35">
      <c r="A261" t="s">
        <v>794</v>
      </c>
      <c r="B261" t="s">
        <v>195</v>
      </c>
      <c r="C261" t="s">
        <v>256</v>
      </c>
      <c r="D261" t="s">
        <v>566</v>
      </c>
      <c r="E261" t="s">
        <v>37</v>
      </c>
      <c r="F261">
        <v>24</v>
      </c>
      <c r="G261" t="s">
        <v>24</v>
      </c>
      <c r="H261" t="s">
        <v>25</v>
      </c>
      <c r="I261" t="s">
        <v>26</v>
      </c>
      <c r="J261" t="s">
        <v>47</v>
      </c>
      <c r="K261" t="s">
        <v>48</v>
      </c>
      <c r="L261" t="s">
        <v>49</v>
      </c>
      <c r="M261">
        <v>4</v>
      </c>
      <c r="N261">
        <v>150</v>
      </c>
      <c r="O261">
        <v>0</v>
      </c>
      <c r="P261">
        <v>600</v>
      </c>
      <c r="Q261">
        <v>56.06</v>
      </c>
      <c r="R261" t="s">
        <v>59</v>
      </c>
      <c r="S261" t="s">
        <v>31</v>
      </c>
      <c r="T261" t="s">
        <v>60</v>
      </c>
    </row>
    <row r="262" spans="1:20" x14ac:dyDescent="0.35">
      <c r="A262" t="s">
        <v>795</v>
      </c>
      <c r="B262" t="s">
        <v>796</v>
      </c>
      <c r="C262" t="s">
        <v>167</v>
      </c>
      <c r="D262" t="s">
        <v>797</v>
      </c>
      <c r="E262" t="s">
        <v>37</v>
      </c>
      <c r="F262">
        <v>60</v>
      </c>
      <c r="G262" t="s">
        <v>98</v>
      </c>
      <c r="H262" t="s">
        <v>99</v>
      </c>
      <c r="I262" t="s">
        <v>100</v>
      </c>
      <c r="J262" t="s">
        <v>89</v>
      </c>
      <c r="K262" t="s">
        <v>90</v>
      </c>
      <c r="L262" t="s">
        <v>91</v>
      </c>
      <c r="M262">
        <v>4</v>
      </c>
      <c r="N262">
        <v>9000</v>
      </c>
      <c r="O262">
        <v>5</v>
      </c>
      <c r="P262">
        <v>34200</v>
      </c>
      <c r="Q262">
        <v>6906.99</v>
      </c>
      <c r="R262" t="s">
        <v>81</v>
      </c>
      <c r="S262" t="s">
        <v>31</v>
      </c>
      <c r="T262" t="s">
        <v>65</v>
      </c>
    </row>
    <row r="263" spans="1:20" x14ac:dyDescent="0.35">
      <c r="A263" t="s">
        <v>798</v>
      </c>
      <c r="B263" t="s">
        <v>507</v>
      </c>
      <c r="C263" t="s">
        <v>587</v>
      </c>
      <c r="D263" t="s">
        <v>238</v>
      </c>
      <c r="E263" t="s">
        <v>37</v>
      </c>
      <c r="F263">
        <v>48</v>
      </c>
      <c r="G263" t="s">
        <v>57</v>
      </c>
      <c r="H263" t="s">
        <v>57</v>
      </c>
      <c r="I263" t="s">
        <v>58</v>
      </c>
      <c r="J263" t="s">
        <v>47</v>
      </c>
      <c r="K263" t="s">
        <v>48</v>
      </c>
      <c r="L263" t="s">
        <v>49</v>
      </c>
      <c r="M263">
        <v>2</v>
      </c>
      <c r="N263">
        <v>150</v>
      </c>
      <c r="O263">
        <v>0</v>
      </c>
      <c r="P263">
        <v>300</v>
      </c>
      <c r="Q263">
        <v>31.88</v>
      </c>
      <c r="R263" t="s">
        <v>59</v>
      </c>
      <c r="S263" t="s">
        <v>92</v>
      </c>
      <c r="T263" t="s">
        <v>93</v>
      </c>
    </row>
    <row r="264" spans="1:20" x14ac:dyDescent="0.35">
      <c r="A264" t="s">
        <v>799</v>
      </c>
      <c r="B264" t="s">
        <v>145</v>
      </c>
      <c r="C264" t="s">
        <v>436</v>
      </c>
      <c r="D264" t="s">
        <v>190</v>
      </c>
      <c r="E264" t="s">
        <v>23</v>
      </c>
      <c r="F264">
        <v>31</v>
      </c>
      <c r="G264" t="s">
        <v>38</v>
      </c>
      <c r="H264" t="s">
        <v>39</v>
      </c>
      <c r="I264" t="s">
        <v>26</v>
      </c>
      <c r="J264" t="s">
        <v>78</v>
      </c>
      <c r="K264" t="s">
        <v>79</v>
      </c>
      <c r="L264" t="s">
        <v>80</v>
      </c>
      <c r="M264">
        <v>1</v>
      </c>
      <c r="N264">
        <v>1800</v>
      </c>
      <c r="O264">
        <v>0</v>
      </c>
      <c r="P264">
        <v>1800</v>
      </c>
      <c r="Q264">
        <v>149.59</v>
      </c>
      <c r="R264" t="s">
        <v>50</v>
      </c>
      <c r="S264" t="s">
        <v>51</v>
      </c>
      <c r="T264" t="s">
        <v>93</v>
      </c>
    </row>
    <row r="265" spans="1:20" x14ac:dyDescent="0.35">
      <c r="A265" t="s">
        <v>800</v>
      </c>
      <c r="B265" t="s">
        <v>255</v>
      </c>
      <c r="C265" t="s">
        <v>327</v>
      </c>
      <c r="D265" t="s">
        <v>801</v>
      </c>
      <c r="E265" t="s">
        <v>37</v>
      </c>
      <c r="F265">
        <v>52</v>
      </c>
      <c r="G265" t="s">
        <v>24</v>
      </c>
      <c r="H265" t="s">
        <v>25</v>
      </c>
      <c r="I265" t="s">
        <v>26</v>
      </c>
      <c r="J265" t="s">
        <v>78</v>
      </c>
      <c r="K265" t="s">
        <v>79</v>
      </c>
      <c r="L265" t="s">
        <v>101</v>
      </c>
      <c r="M265">
        <v>3</v>
      </c>
      <c r="N265">
        <v>3500</v>
      </c>
      <c r="O265">
        <v>10</v>
      </c>
      <c r="P265">
        <v>9450</v>
      </c>
      <c r="Q265">
        <v>855.38</v>
      </c>
      <c r="R265" t="s">
        <v>81</v>
      </c>
      <c r="S265" t="s">
        <v>92</v>
      </c>
      <c r="T265" t="s">
        <v>117</v>
      </c>
    </row>
    <row r="266" spans="1:20" x14ac:dyDescent="0.35">
      <c r="A266" t="s">
        <v>802</v>
      </c>
      <c r="B266" t="s">
        <v>803</v>
      </c>
      <c r="C266" t="s">
        <v>464</v>
      </c>
      <c r="D266" t="s">
        <v>175</v>
      </c>
      <c r="E266" t="s">
        <v>23</v>
      </c>
      <c r="F266">
        <v>59</v>
      </c>
      <c r="G266" t="s">
        <v>86</v>
      </c>
      <c r="H266" t="s">
        <v>87</v>
      </c>
      <c r="I266" t="s">
        <v>88</v>
      </c>
      <c r="J266" t="s">
        <v>47</v>
      </c>
      <c r="K266" t="s">
        <v>48</v>
      </c>
      <c r="L266" t="s">
        <v>49</v>
      </c>
      <c r="M266">
        <v>3</v>
      </c>
      <c r="N266">
        <v>150</v>
      </c>
      <c r="O266">
        <v>20</v>
      </c>
      <c r="P266">
        <v>360</v>
      </c>
      <c r="Q266">
        <v>54.35</v>
      </c>
      <c r="R266" t="s">
        <v>50</v>
      </c>
      <c r="S266" t="s">
        <v>51</v>
      </c>
      <c r="T266" t="s">
        <v>65</v>
      </c>
    </row>
    <row r="267" spans="1:20" x14ac:dyDescent="0.35">
      <c r="A267" t="s">
        <v>804</v>
      </c>
      <c r="B267" t="s">
        <v>184</v>
      </c>
      <c r="C267" t="s">
        <v>429</v>
      </c>
      <c r="D267" t="s">
        <v>543</v>
      </c>
      <c r="E267" t="s">
        <v>37</v>
      </c>
      <c r="F267">
        <v>45</v>
      </c>
      <c r="G267" t="s">
        <v>98</v>
      </c>
      <c r="H267" t="s">
        <v>99</v>
      </c>
      <c r="I267" t="s">
        <v>100</v>
      </c>
      <c r="J267" t="s">
        <v>27</v>
      </c>
      <c r="K267" t="s">
        <v>28</v>
      </c>
      <c r="L267" t="s">
        <v>140</v>
      </c>
      <c r="M267">
        <v>1</v>
      </c>
      <c r="N267">
        <v>65000</v>
      </c>
      <c r="O267">
        <v>15</v>
      </c>
      <c r="P267">
        <v>55250</v>
      </c>
      <c r="Q267">
        <v>5049.2700000000004</v>
      </c>
      <c r="R267" t="s">
        <v>59</v>
      </c>
      <c r="S267" t="s">
        <v>51</v>
      </c>
      <c r="T267" t="s">
        <v>65</v>
      </c>
    </row>
    <row r="268" spans="1:20" x14ac:dyDescent="0.35">
      <c r="A268" t="s">
        <v>805</v>
      </c>
      <c r="B268" t="s">
        <v>415</v>
      </c>
      <c r="C268" t="s">
        <v>44</v>
      </c>
      <c r="D268" t="s">
        <v>219</v>
      </c>
      <c r="E268" t="s">
        <v>23</v>
      </c>
      <c r="F268">
        <v>24</v>
      </c>
      <c r="G268" t="s">
        <v>57</v>
      </c>
      <c r="H268" t="s">
        <v>57</v>
      </c>
      <c r="I268" t="s">
        <v>58</v>
      </c>
      <c r="J268" t="s">
        <v>47</v>
      </c>
      <c r="K268" t="s">
        <v>48</v>
      </c>
      <c r="L268" t="s">
        <v>215</v>
      </c>
      <c r="M268">
        <v>3</v>
      </c>
      <c r="N268">
        <v>450</v>
      </c>
      <c r="O268">
        <v>0</v>
      </c>
      <c r="P268">
        <v>1350</v>
      </c>
      <c r="Q268">
        <v>311.58</v>
      </c>
      <c r="R268" t="s">
        <v>30</v>
      </c>
      <c r="S268" t="s">
        <v>31</v>
      </c>
      <c r="T268" t="s">
        <v>32</v>
      </c>
    </row>
    <row r="269" spans="1:20" x14ac:dyDescent="0.35">
      <c r="A269" t="s">
        <v>806</v>
      </c>
      <c r="B269" t="s">
        <v>807</v>
      </c>
      <c r="C269" t="s">
        <v>609</v>
      </c>
      <c r="D269" t="s">
        <v>393</v>
      </c>
      <c r="E269" t="s">
        <v>23</v>
      </c>
      <c r="F269">
        <v>47</v>
      </c>
      <c r="G269" t="s">
        <v>114</v>
      </c>
      <c r="H269" t="s">
        <v>115</v>
      </c>
      <c r="I269" t="s">
        <v>88</v>
      </c>
      <c r="J269" t="s">
        <v>27</v>
      </c>
      <c r="K269" t="s">
        <v>28</v>
      </c>
      <c r="L269" t="s">
        <v>40</v>
      </c>
      <c r="M269">
        <v>3</v>
      </c>
      <c r="N269">
        <v>2500</v>
      </c>
      <c r="O269">
        <v>20</v>
      </c>
      <c r="P269">
        <v>6000</v>
      </c>
      <c r="Q269">
        <v>1344.57</v>
      </c>
      <c r="R269" t="s">
        <v>50</v>
      </c>
      <c r="S269" t="s">
        <v>51</v>
      </c>
      <c r="T269" t="s">
        <v>117</v>
      </c>
    </row>
    <row r="270" spans="1:20" x14ac:dyDescent="0.35">
      <c r="A270" t="s">
        <v>808</v>
      </c>
      <c r="B270" t="s">
        <v>330</v>
      </c>
      <c r="C270" t="s">
        <v>809</v>
      </c>
      <c r="D270" t="s">
        <v>305</v>
      </c>
      <c r="E270" t="s">
        <v>23</v>
      </c>
      <c r="F270">
        <v>54</v>
      </c>
      <c r="G270" t="s">
        <v>126</v>
      </c>
      <c r="H270" t="s">
        <v>127</v>
      </c>
      <c r="I270" t="s">
        <v>88</v>
      </c>
      <c r="J270" t="s">
        <v>47</v>
      </c>
      <c r="K270" t="s">
        <v>48</v>
      </c>
      <c r="L270" t="s">
        <v>215</v>
      </c>
      <c r="M270">
        <v>4</v>
      </c>
      <c r="N270">
        <v>450</v>
      </c>
      <c r="O270">
        <v>20</v>
      </c>
      <c r="P270">
        <v>1440</v>
      </c>
      <c r="Q270">
        <v>161.31</v>
      </c>
      <c r="R270" t="s">
        <v>50</v>
      </c>
      <c r="S270" t="s">
        <v>92</v>
      </c>
      <c r="T270" t="s">
        <v>60</v>
      </c>
    </row>
    <row r="271" spans="1:20" x14ac:dyDescent="0.35">
      <c r="A271" t="s">
        <v>810</v>
      </c>
      <c r="B271" t="s">
        <v>811</v>
      </c>
      <c r="C271" t="s">
        <v>812</v>
      </c>
      <c r="D271" t="s">
        <v>813</v>
      </c>
      <c r="E271" t="s">
        <v>37</v>
      </c>
      <c r="F271">
        <v>25</v>
      </c>
      <c r="G271" t="s">
        <v>57</v>
      </c>
      <c r="H271" t="s">
        <v>57</v>
      </c>
      <c r="I271" t="s">
        <v>58</v>
      </c>
      <c r="J271" t="s">
        <v>78</v>
      </c>
      <c r="K271" t="s">
        <v>79</v>
      </c>
      <c r="L271" t="s">
        <v>156</v>
      </c>
      <c r="M271">
        <v>3</v>
      </c>
      <c r="N271">
        <v>800</v>
      </c>
      <c r="O271">
        <v>15</v>
      </c>
      <c r="P271">
        <v>2040</v>
      </c>
      <c r="Q271">
        <v>412.99</v>
      </c>
      <c r="R271" t="s">
        <v>59</v>
      </c>
      <c r="S271" t="s">
        <v>51</v>
      </c>
      <c r="T271" t="s">
        <v>52</v>
      </c>
    </row>
    <row r="272" spans="1:20" x14ac:dyDescent="0.35">
      <c r="A272" t="s">
        <v>814</v>
      </c>
      <c r="B272" t="s">
        <v>367</v>
      </c>
      <c r="C272" t="s">
        <v>385</v>
      </c>
      <c r="D272" t="s">
        <v>147</v>
      </c>
      <c r="E272" t="s">
        <v>23</v>
      </c>
      <c r="F272">
        <v>47</v>
      </c>
      <c r="G272" t="s">
        <v>114</v>
      </c>
      <c r="H272" t="s">
        <v>115</v>
      </c>
      <c r="I272" t="s">
        <v>88</v>
      </c>
      <c r="J272" t="s">
        <v>27</v>
      </c>
      <c r="K272" t="s">
        <v>28</v>
      </c>
      <c r="L272" t="s">
        <v>29</v>
      </c>
      <c r="M272">
        <v>4</v>
      </c>
      <c r="N272">
        <v>12000</v>
      </c>
      <c r="O272">
        <v>15</v>
      </c>
      <c r="P272">
        <v>40800</v>
      </c>
      <c r="Q272">
        <v>9882.5300000000007</v>
      </c>
      <c r="R272" t="s">
        <v>59</v>
      </c>
      <c r="S272" t="s">
        <v>51</v>
      </c>
      <c r="T272" t="s">
        <v>60</v>
      </c>
    </row>
    <row r="273" spans="1:20" x14ac:dyDescent="0.35">
      <c r="A273" t="s">
        <v>815</v>
      </c>
      <c r="B273" t="s">
        <v>473</v>
      </c>
      <c r="C273" t="s">
        <v>76</v>
      </c>
      <c r="D273" t="s">
        <v>595</v>
      </c>
      <c r="E273" t="s">
        <v>37</v>
      </c>
      <c r="F273">
        <v>34</v>
      </c>
      <c r="G273" t="s">
        <v>86</v>
      </c>
      <c r="H273" t="s">
        <v>87</v>
      </c>
      <c r="I273" t="s">
        <v>88</v>
      </c>
      <c r="J273" t="s">
        <v>78</v>
      </c>
      <c r="K273" t="s">
        <v>79</v>
      </c>
      <c r="L273" t="s">
        <v>156</v>
      </c>
      <c r="M273">
        <v>3</v>
      </c>
      <c r="N273">
        <v>800</v>
      </c>
      <c r="O273">
        <v>5</v>
      </c>
      <c r="P273">
        <v>2280</v>
      </c>
      <c r="Q273">
        <v>309.85000000000002</v>
      </c>
      <c r="R273" t="s">
        <v>30</v>
      </c>
      <c r="S273" t="s">
        <v>51</v>
      </c>
      <c r="T273" t="s">
        <v>32</v>
      </c>
    </row>
    <row r="274" spans="1:20" x14ac:dyDescent="0.35">
      <c r="A274" t="s">
        <v>816</v>
      </c>
      <c r="B274" t="s">
        <v>652</v>
      </c>
      <c r="C274" t="s">
        <v>676</v>
      </c>
      <c r="D274" t="s">
        <v>817</v>
      </c>
      <c r="E274" t="s">
        <v>37</v>
      </c>
      <c r="F274">
        <v>20</v>
      </c>
      <c r="G274" t="s">
        <v>24</v>
      </c>
      <c r="H274" t="s">
        <v>25</v>
      </c>
      <c r="I274" t="s">
        <v>26</v>
      </c>
      <c r="J274" t="s">
        <v>47</v>
      </c>
      <c r="K274" t="s">
        <v>48</v>
      </c>
      <c r="L274" t="s">
        <v>215</v>
      </c>
      <c r="M274">
        <v>1</v>
      </c>
      <c r="N274">
        <v>450</v>
      </c>
      <c r="O274">
        <v>20</v>
      </c>
      <c r="P274">
        <v>360</v>
      </c>
      <c r="Q274">
        <v>38.32</v>
      </c>
      <c r="R274" t="s">
        <v>81</v>
      </c>
      <c r="S274" t="s">
        <v>51</v>
      </c>
      <c r="T274" t="s">
        <v>93</v>
      </c>
    </row>
    <row r="275" spans="1:20" x14ac:dyDescent="0.35">
      <c r="A275" t="s">
        <v>818</v>
      </c>
      <c r="B275" t="s">
        <v>591</v>
      </c>
      <c r="C275" t="s">
        <v>218</v>
      </c>
      <c r="D275" t="s">
        <v>418</v>
      </c>
      <c r="E275" t="s">
        <v>23</v>
      </c>
      <c r="F275">
        <v>52</v>
      </c>
      <c r="G275" t="s">
        <v>86</v>
      </c>
      <c r="H275" t="s">
        <v>87</v>
      </c>
      <c r="I275" t="s">
        <v>88</v>
      </c>
      <c r="J275" t="s">
        <v>78</v>
      </c>
      <c r="K275" t="s">
        <v>79</v>
      </c>
      <c r="L275" t="s">
        <v>80</v>
      </c>
      <c r="M275">
        <v>2</v>
      </c>
      <c r="N275">
        <v>1800</v>
      </c>
      <c r="O275">
        <v>0</v>
      </c>
      <c r="P275">
        <v>3600</v>
      </c>
      <c r="Q275">
        <v>356.09</v>
      </c>
      <c r="R275" t="s">
        <v>30</v>
      </c>
      <c r="S275" t="s">
        <v>31</v>
      </c>
      <c r="T275" t="s">
        <v>117</v>
      </c>
    </row>
    <row r="276" spans="1:20" x14ac:dyDescent="0.35">
      <c r="A276" t="s">
        <v>819</v>
      </c>
      <c r="B276" t="s">
        <v>751</v>
      </c>
      <c r="C276" t="s">
        <v>120</v>
      </c>
      <c r="D276" t="s">
        <v>449</v>
      </c>
      <c r="E276" t="s">
        <v>37</v>
      </c>
      <c r="F276">
        <v>41</v>
      </c>
      <c r="G276" t="s">
        <v>24</v>
      </c>
      <c r="H276" t="s">
        <v>25</v>
      </c>
      <c r="I276" t="s">
        <v>26</v>
      </c>
      <c r="J276" t="s">
        <v>89</v>
      </c>
      <c r="K276" t="s">
        <v>90</v>
      </c>
      <c r="L276" t="s">
        <v>91</v>
      </c>
      <c r="M276">
        <v>3</v>
      </c>
      <c r="N276">
        <v>9000</v>
      </c>
      <c r="O276">
        <v>10</v>
      </c>
      <c r="P276">
        <v>24300</v>
      </c>
      <c r="Q276">
        <v>4660.72</v>
      </c>
      <c r="R276" t="s">
        <v>81</v>
      </c>
      <c r="S276" t="s">
        <v>51</v>
      </c>
      <c r="T276" t="s">
        <v>93</v>
      </c>
    </row>
    <row r="277" spans="1:20" x14ac:dyDescent="0.35">
      <c r="A277" t="s">
        <v>820</v>
      </c>
      <c r="B277" t="s">
        <v>821</v>
      </c>
      <c r="C277" t="s">
        <v>822</v>
      </c>
      <c r="D277" t="s">
        <v>643</v>
      </c>
      <c r="E277" t="s">
        <v>23</v>
      </c>
      <c r="F277">
        <v>52</v>
      </c>
      <c r="G277" t="s">
        <v>46</v>
      </c>
      <c r="H277" t="s">
        <v>25</v>
      </c>
      <c r="I277" t="s">
        <v>26</v>
      </c>
      <c r="J277" t="s">
        <v>27</v>
      </c>
      <c r="K277" t="s">
        <v>28</v>
      </c>
      <c r="L277" t="s">
        <v>140</v>
      </c>
      <c r="M277">
        <v>3</v>
      </c>
      <c r="N277">
        <v>65000</v>
      </c>
      <c r="O277">
        <v>20</v>
      </c>
      <c r="P277">
        <v>156000</v>
      </c>
      <c r="Q277">
        <v>14479.85</v>
      </c>
      <c r="R277" t="s">
        <v>50</v>
      </c>
      <c r="S277" t="s">
        <v>31</v>
      </c>
      <c r="T277" t="s">
        <v>60</v>
      </c>
    </row>
    <row r="278" spans="1:20" x14ac:dyDescent="0.35">
      <c r="A278" t="s">
        <v>823</v>
      </c>
      <c r="B278" t="s">
        <v>134</v>
      </c>
      <c r="C278" t="s">
        <v>754</v>
      </c>
      <c r="D278" t="s">
        <v>321</v>
      </c>
      <c r="E278" t="s">
        <v>23</v>
      </c>
      <c r="F278">
        <v>38</v>
      </c>
      <c r="G278" t="s">
        <v>98</v>
      </c>
      <c r="H278" t="s">
        <v>99</v>
      </c>
      <c r="I278" t="s">
        <v>100</v>
      </c>
      <c r="J278" t="s">
        <v>78</v>
      </c>
      <c r="K278" t="s">
        <v>79</v>
      </c>
      <c r="L278" t="s">
        <v>156</v>
      </c>
      <c r="M278">
        <v>3</v>
      </c>
      <c r="N278">
        <v>800</v>
      </c>
      <c r="O278">
        <v>15</v>
      </c>
      <c r="P278">
        <v>2040</v>
      </c>
      <c r="Q278">
        <v>487.56</v>
      </c>
      <c r="R278" t="s">
        <v>81</v>
      </c>
      <c r="S278" t="s">
        <v>51</v>
      </c>
      <c r="T278" t="s">
        <v>65</v>
      </c>
    </row>
    <row r="279" spans="1:20" x14ac:dyDescent="0.35">
      <c r="A279" t="s">
        <v>824</v>
      </c>
      <c r="B279" t="s">
        <v>825</v>
      </c>
      <c r="C279" t="s">
        <v>628</v>
      </c>
      <c r="D279" t="s">
        <v>246</v>
      </c>
      <c r="E279" t="s">
        <v>23</v>
      </c>
      <c r="F279">
        <v>38</v>
      </c>
      <c r="G279" t="s">
        <v>57</v>
      </c>
      <c r="H279" t="s">
        <v>57</v>
      </c>
      <c r="I279" t="s">
        <v>58</v>
      </c>
      <c r="J279" t="s">
        <v>27</v>
      </c>
      <c r="K279" t="s">
        <v>28</v>
      </c>
      <c r="L279" t="s">
        <v>73</v>
      </c>
      <c r="M279">
        <v>5</v>
      </c>
      <c r="N279">
        <v>25000</v>
      </c>
      <c r="O279">
        <v>10</v>
      </c>
      <c r="P279">
        <v>112500</v>
      </c>
      <c r="Q279">
        <v>15971.84</v>
      </c>
      <c r="R279" t="s">
        <v>81</v>
      </c>
      <c r="S279" t="s">
        <v>31</v>
      </c>
      <c r="T279" t="s">
        <v>65</v>
      </c>
    </row>
    <row r="280" spans="1:20" x14ac:dyDescent="0.35">
      <c r="A280" t="s">
        <v>826</v>
      </c>
      <c r="B280" t="s">
        <v>622</v>
      </c>
      <c r="C280" t="s">
        <v>174</v>
      </c>
      <c r="D280" t="s">
        <v>827</v>
      </c>
      <c r="E280" t="s">
        <v>23</v>
      </c>
      <c r="F280">
        <v>56</v>
      </c>
      <c r="G280" t="s">
        <v>126</v>
      </c>
      <c r="H280" t="s">
        <v>127</v>
      </c>
      <c r="I280" t="s">
        <v>88</v>
      </c>
      <c r="J280" t="s">
        <v>27</v>
      </c>
      <c r="K280" t="s">
        <v>28</v>
      </c>
      <c r="L280" t="s">
        <v>73</v>
      </c>
      <c r="M280">
        <v>4</v>
      </c>
      <c r="N280">
        <v>25000</v>
      </c>
      <c r="O280">
        <v>0</v>
      </c>
      <c r="P280">
        <v>100000</v>
      </c>
      <c r="Q280">
        <v>26283.82</v>
      </c>
      <c r="R280" t="s">
        <v>81</v>
      </c>
      <c r="S280" t="s">
        <v>31</v>
      </c>
      <c r="T280" t="s">
        <v>93</v>
      </c>
    </row>
    <row r="281" spans="1:20" x14ac:dyDescent="0.35">
      <c r="A281" t="s">
        <v>828</v>
      </c>
      <c r="B281" t="s">
        <v>829</v>
      </c>
      <c r="C281" t="s">
        <v>208</v>
      </c>
      <c r="D281" t="s">
        <v>813</v>
      </c>
      <c r="E281" t="s">
        <v>23</v>
      </c>
      <c r="F281">
        <v>33</v>
      </c>
      <c r="G281" t="s">
        <v>46</v>
      </c>
      <c r="H281" t="s">
        <v>25</v>
      </c>
      <c r="I281" t="s">
        <v>26</v>
      </c>
      <c r="J281" t="s">
        <v>78</v>
      </c>
      <c r="K281" t="s">
        <v>79</v>
      </c>
      <c r="L281" t="s">
        <v>101</v>
      </c>
      <c r="M281">
        <v>3</v>
      </c>
      <c r="N281">
        <v>3500</v>
      </c>
      <c r="O281">
        <v>15</v>
      </c>
      <c r="P281">
        <v>8925</v>
      </c>
      <c r="Q281">
        <v>2168.4899999999998</v>
      </c>
      <c r="R281" t="s">
        <v>50</v>
      </c>
      <c r="S281" t="s">
        <v>51</v>
      </c>
      <c r="T281" t="s">
        <v>117</v>
      </c>
    </row>
    <row r="282" spans="1:20" x14ac:dyDescent="0.35">
      <c r="A282" t="s">
        <v>830</v>
      </c>
      <c r="B282" t="s">
        <v>831</v>
      </c>
      <c r="C282" t="s">
        <v>832</v>
      </c>
      <c r="D282" t="s">
        <v>833</v>
      </c>
      <c r="E282" t="s">
        <v>23</v>
      </c>
      <c r="F282">
        <v>29</v>
      </c>
      <c r="G282" t="s">
        <v>126</v>
      </c>
      <c r="H282" t="s">
        <v>127</v>
      </c>
      <c r="I282" t="s">
        <v>88</v>
      </c>
      <c r="J282" t="s">
        <v>47</v>
      </c>
      <c r="K282" t="s">
        <v>48</v>
      </c>
      <c r="L282" t="s">
        <v>49</v>
      </c>
      <c r="M282">
        <v>2</v>
      </c>
      <c r="N282">
        <v>150</v>
      </c>
      <c r="O282">
        <v>5</v>
      </c>
      <c r="P282">
        <v>285</v>
      </c>
      <c r="Q282">
        <v>29.4</v>
      </c>
      <c r="R282" t="s">
        <v>41</v>
      </c>
      <c r="S282" t="s">
        <v>31</v>
      </c>
      <c r="T282" t="s">
        <v>32</v>
      </c>
    </row>
    <row r="283" spans="1:20" x14ac:dyDescent="0.35">
      <c r="A283" t="s">
        <v>834</v>
      </c>
      <c r="B283" t="s">
        <v>835</v>
      </c>
      <c r="C283" t="s">
        <v>143</v>
      </c>
      <c r="D283" t="s">
        <v>468</v>
      </c>
      <c r="E283" t="s">
        <v>37</v>
      </c>
      <c r="F283">
        <v>29</v>
      </c>
      <c r="G283" t="s">
        <v>38</v>
      </c>
      <c r="H283" t="s">
        <v>39</v>
      </c>
      <c r="I283" t="s">
        <v>26</v>
      </c>
      <c r="J283" t="s">
        <v>78</v>
      </c>
      <c r="K283" t="s">
        <v>79</v>
      </c>
      <c r="L283" t="s">
        <v>156</v>
      </c>
      <c r="M283">
        <v>5</v>
      </c>
      <c r="N283">
        <v>800</v>
      </c>
      <c r="O283">
        <v>5</v>
      </c>
      <c r="P283">
        <v>3800</v>
      </c>
      <c r="Q283">
        <v>834.01</v>
      </c>
      <c r="R283" t="s">
        <v>50</v>
      </c>
      <c r="S283" t="s">
        <v>51</v>
      </c>
      <c r="T283" t="s">
        <v>32</v>
      </c>
    </row>
    <row r="284" spans="1:20" x14ac:dyDescent="0.35">
      <c r="A284" t="s">
        <v>836</v>
      </c>
      <c r="B284" t="s">
        <v>837</v>
      </c>
      <c r="C284" t="s">
        <v>347</v>
      </c>
      <c r="D284" t="s">
        <v>424</v>
      </c>
      <c r="E284" t="s">
        <v>23</v>
      </c>
      <c r="F284">
        <v>33</v>
      </c>
      <c r="G284" t="s">
        <v>126</v>
      </c>
      <c r="H284" t="s">
        <v>127</v>
      </c>
      <c r="I284" t="s">
        <v>88</v>
      </c>
      <c r="J284" t="s">
        <v>78</v>
      </c>
      <c r="K284" t="s">
        <v>79</v>
      </c>
      <c r="L284" t="s">
        <v>80</v>
      </c>
      <c r="M284">
        <v>4</v>
      </c>
      <c r="N284">
        <v>1800</v>
      </c>
      <c r="O284">
        <v>0</v>
      </c>
      <c r="P284">
        <v>7200</v>
      </c>
      <c r="Q284">
        <v>898.26</v>
      </c>
      <c r="R284" t="s">
        <v>50</v>
      </c>
      <c r="S284" t="s">
        <v>51</v>
      </c>
      <c r="T284" t="s">
        <v>60</v>
      </c>
    </row>
    <row r="285" spans="1:20" x14ac:dyDescent="0.35">
      <c r="A285" t="s">
        <v>838</v>
      </c>
      <c r="B285" t="s">
        <v>181</v>
      </c>
      <c r="C285" t="s">
        <v>839</v>
      </c>
      <c r="D285" t="s">
        <v>197</v>
      </c>
      <c r="E285" t="s">
        <v>23</v>
      </c>
      <c r="F285">
        <v>54</v>
      </c>
      <c r="G285" t="s">
        <v>114</v>
      </c>
      <c r="H285" t="s">
        <v>115</v>
      </c>
      <c r="I285" t="s">
        <v>88</v>
      </c>
      <c r="J285" t="s">
        <v>47</v>
      </c>
      <c r="K285" t="s">
        <v>48</v>
      </c>
      <c r="L285" t="s">
        <v>215</v>
      </c>
      <c r="M285">
        <v>4</v>
      </c>
      <c r="N285">
        <v>450</v>
      </c>
      <c r="O285">
        <v>20</v>
      </c>
      <c r="P285">
        <v>1440</v>
      </c>
      <c r="Q285">
        <v>231.63</v>
      </c>
      <c r="R285" t="s">
        <v>30</v>
      </c>
      <c r="S285" t="s">
        <v>51</v>
      </c>
      <c r="T285" t="s">
        <v>52</v>
      </c>
    </row>
    <row r="286" spans="1:20" x14ac:dyDescent="0.35">
      <c r="A286" t="s">
        <v>840</v>
      </c>
      <c r="B286" t="s">
        <v>841</v>
      </c>
      <c r="C286" t="s">
        <v>274</v>
      </c>
      <c r="D286" t="s">
        <v>234</v>
      </c>
      <c r="E286" t="s">
        <v>37</v>
      </c>
      <c r="F286">
        <v>48</v>
      </c>
      <c r="G286" t="s">
        <v>57</v>
      </c>
      <c r="H286" t="s">
        <v>57</v>
      </c>
      <c r="I286" t="s">
        <v>58</v>
      </c>
      <c r="J286" t="s">
        <v>78</v>
      </c>
      <c r="K286" t="s">
        <v>79</v>
      </c>
      <c r="L286" t="s">
        <v>156</v>
      </c>
      <c r="M286">
        <v>2</v>
      </c>
      <c r="N286">
        <v>800</v>
      </c>
      <c r="O286">
        <v>0</v>
      </c>
      <c r="P286">
        <v>1600</v>
      </c>
      <c r="Q286">
        <v>148.05000000000001</v>
      </c>
      <c r="R286" t="s">
        <v>41</v>
      </c>
      <c r="S286" t="s">
        <v>92</v>
      </c>
      <c r="T286" t="s">
        <v>32</v>
      </c>
    </row>
    <row r="287" spans="1:20" x14ac:dyDescent="0.35">
      <c r="A287" t="s">
        <v>842</v>
      </c>
      <c r="B287" t="s">
        <v>843</v>
      </c>
      <c r="C287" t="s">
        <v>331</v>
      </c>
      <c r="D287" t="s">
        <v>362</v>
      </c>
      <c r="E287" t="s">
        <v>23</v>
      </c>
      <c r="F287">
        <v>29</v>
      </c>
      <c r="G287" t="s">
        <v>98</v>
      </c>
      <c r="H287" t="s">
        <v>99</v>
      </c>
      <c r="I287" t="s">
        <v>100</v>
      </c>
      <c r="J287" t="s">
        <v>89</v>
      </c>
      <c r="K287" t="s">
        <v>90</v>
      </c>
      <c r="L287" t="s">
        <v>128</v>
      </c>
      <c r="M287">
        <v>2</v>
      </c>
      <c r="N287">
        <v>7000</v>
      </c>
      <c r="O287">
        <v>10</v>
      </c>
      <c r="P287">
        <v>12600</v>
      </c>
      <c r="Q287">
        <v>3263.01</v>
      </c>
      <c r="R287" t="s">
        <v>59</v>
      </c>
      <c r="S287" t="s">
        <v>31</v>
      </c>
      <c r="T287" t="s">
        <v>93</v>
      </c>
    </row>
    <row r="288" spans="1:20" x14ac:dyDescent="0.35">
      <c r="A288" t="s">
        <v>844</v>
      </c>
      <c r="B288" t="s">
        <v>845</v>
      </c>
      <c r="C288" t="s">
        <v>196</v>
      </c>
      <c r="D288" t="s">
        <v>441</v>
      </c>
      <c r="E288" t="s">
        <v>37</v>
      </c>
      <c r="F288">
        <v>28</v>
      </c>
      <c r="G288" t="s">
        <v>126</v>
      </c>
      <c r="H288" t="s">
        <v>127</v>
      </c>
      <c r="I288" t="s">
        <v>88</v>
      </c>
      <c r="J288" t="s">
        <v>78</v>
      </c>
      <c r="K288" t="s">
        <v>79</v>
      </c>
      <c r="L288" t="s">
        <v>80</v>
      </c>
      <c r="M288">
        <v>4</v>
      </c>
      <c r="N288">
        <v>1800</v>
      </c>
      <c r="O288">
        <v>10</v>
      </c>
      <c r="P288">
        <v>6480</v>
      </c>
      <c r="Q288">
        <v>758.96</v>
      </c>
      <c r="R288" t="s">
        <v>81</v>
      </c>
      <c r="S288" t="s">
        <v>51</v>
      </c>
      <c r="T288" t="s">
        <v>60</v>
      </c>
    </row>
    <row r="289" spans="1:20" x14ac:dyDescent="0.35">
      <c r="A289" t="s">
        <v>846</v>
      </c>
      <c r="B289" t="s">
        <v>847</v>
      </c>
      <c r="C289" t="s">
        <v>204</v>
      </c>
      <c r="D289" t="s">
        <v>647</v>
      </c>
      <c r="E289" t="s">
        <v>23</v>
      </c>
      <c r="F289">
        <v>50</v>
      </c>
      <c r="G289" t="s">
        <v>98</v>
      </c>
      <c r="H289" t="s">
        <v>99</v>
      </c>
      <c r="I289" t="s">
        <v>100</v>
      </c>
      <c r="J289" t="s">
        <v>27</v>
      </c>
      <c r="K289" t="s">
        <v>28</v>
      </c>
      <c r="L289" t="s">
        <v>140</v>
      </c>
      <c r="M289">
        <v>5</v>
      </c>
      <c r="N289">
        <v>65000</v>
      </c>
      <c r="O289">
        <v>20</v>
      </c>
      <c r="P289">
        <v>260000</v>
      </c>
      <c r="Q289">
        <v>50766.03</v>
      </c>
      <c r="R289" t="s">
        <v>41</v>
      </c>
      <c r="S289" t="s">
        <v>92</v>
      </c>
      <c r="T289" t="s">
        <v>117</v>
      </c>
    </row>
    <row r="290" spans="1:20" x14ac:dyDescent="0.35">
      <c r="A290" t="s">
        <v>848</v>
      </c>
      <c r="B290" t="s">
        <v>849</v>
      </c>
      <c r="C290" t="s">
        <v>120</v>
      </c>
      <c r="D290" t="s">
        <v>324</v>
      </c>
      <c r="E290" t="s">
        <v>37</v>
      </c>
      <c r="F290">
        <v>22</v>
      </c>
      <c r="G290" t="s">
        <v>98</v>
      </c>
      <c r="H290" t="s">
        <v>99</v>
      </c>
      <c r="I290" t="s">
        <v>100</v>
      </c>
      <c r="J290" t="s">
        <v>47</v>
      </c>
      <c r="K290" t="s">
        <v>48</v>
      </c>
      <c r="L290" t="s">
        <v>116</v>
      </c>
      <c r="M290">
        <v>2</v>
      </c>
      <c r="N290">
        <v>120</v>
      </c>
      <c r="O290">
        <v>20</v>
      </c>
      <c r="P290">
        <v>192</v>
      </c>
      <c r="Q290">
        <v>18.690000000000001</v>
      </c>
      <c r="R290" t="s">
        <v>81</v>
      </c>
      <c r="S290" t="s">
        <v>31</v>
      </c>
      <c r="T290" t="s">
        <v>60</v>
      </c>
    </row>
    <row r="291" spans="1:20" x14ac:dyDescent="0.35">
      <c r="A291" t="s">
        <v>850</v>
      </c>
      <c r="B291" t="s">
        <v>67</v>
      </c>
      <c r="C291" t="s">
        <v>542</v>
      </c>
      <c r="D291" t="s">
        <v>410</v>
      </c>
      <c r="E291" t="s">
        <v>23</v>
      </c>
      <c r="F291">
        <v>49</v>
      </c>
      <c r="G291" t="s">
        <v>38</v>
      </c>
      <c r="H291" t="s">
        <v>39</v>
      </c>
      <c r="I291" t="s">
        <v>26</v>
      </c>
      <c r="J291" t="s">
        <v>47</v>
      </c>
      <c r="K291" t="s">
        <v>48</v>
      </c>
      <c r="L291" t="s">
        <v>116</v>
      </c>
      <c r="M291">
        <v>4</v>
      </c>
      <c r="N291">
        <v>120</v>
      </c>
      <c r="O291">
        <v>15</v>
      </c>
      <c r="P291">
        <v>408</v>
      </c>
      <c r="Q291">
        <v>34.74</v>
      </c>
      <c r="R291" t="s">
        <v>59</v>
      </c>
      <c r="S291" t="s">
        <v>51</v>
      </c>
      <c r="T291" t="s">
        <v>93</v>
      </c>
    </row>
    <row r="292" spans="1:20" x14ac:dyDescent="0.35">
      <c r="A292" t="s">
        <v>851</v>
      </c>
      <c r="B292" t="s">
        <v>255</v>
      </c>
      <c r="C292" t="s">
        <v>270</v>
      </c>
      <c r="D292" t="s">
        <v>852</v>
      </c>
      <c r="E292" t="s">
        <v>23</v>
      </c>
      <c r="F292">
        <v>27</v>
      </c>
      <c r="G292" t="s">
        <v>46</v>
      </c>
      <c r="H292" t="s">
        <v>25</v>
      </c>
      <c r="I292" t="s">
        <v>26</v>
      </c>
      <c r="J292" t="s">
        <v>78</v>
      </c>
      <c r="K292" t="s">
        <v>79</v>
      </c>
      <c r="L292" t="s">
        <v>156</v>
      </c>
      <c r="M292">
        <v>1</v>
      </c>
      <c r="N292">
        <v>800</v>
      </c>
      <c r="O292">
        <v>20</v>
      </c>
      <c r="P292">
        <v>640</v>
      </c>
      <c r="Q292">
        <v>73.67</v>
      </c>
      <c r="R292" t="s">
        <v>30</v>
      </c>
      <c r="S292" t="s">
        <v>31</v>
      </c>
      <c r="T292" t="s">
        <v>52</v>
      </c>
    </row>
    <row r="293" spans="1:20" x14ac:dyDescent="0.35">
      <c r="A293" t="s">
        <v>853</v>
      </c>
      <c r="B293" t="s">
        <v>854</v>
      </c>
      <c r="C293" t="s">
        <v>408</v>
      </c>
      <c r="D293" t="s">
        <v>437</v>
      </c>
      <c r="E293" t="s">
        <v>23</v>
      </c>
      <c r="F293">
        <v>27</v>
      </c>
      <c r="G293" t="s">
        <v>57</v>
      </c>
      <c r="H293" t="s">
        <v>57</v>
      </c>
      <c r="I293" t="s">
        <v>58</v>
      </c>
      <c r="J293" t="s">
        <v>89</v>
      </c>
      <c r="K293" t="s">
        <v>90</v>
      </c>
      <c r="L293" t="s">
        <v>91</v>
      </c>
      <c r="M293">
        <v>2</v>
      </c>
      <c r="N293">
        <v>9000</v>
      </c>
      <c r="O293">
        <v>5</v>
      </c>
      <c r="P293">
        <v>17100</v>
      </c>
      <c r="Q293">
        <v>4447.3100000000004</v>
      </c>
      <c r="R293" t="s">
        <v>59</v>
      </c>
      <c r="S293" t="s">
        <v>51</v>
      </c>
      <c r="T293" t="s">
        <v>65</v>
      </c>
    </row>
    <row r="294" spans="1:20" x14ac:dyDescent="0.35">
      <c r="A294" t="s">
        <v>855</v>
      </c>
      <c r="B294" t="s">
        <v>856</v>
      </c>
      <c r="C294" t="s">
        <v>857</v>
      </c>
      <c r="D294" t="s">
        <v>230</v>
      </c>
      <c r="E294" t="s">
        <v>37</v>
      </c>
      <c r="F294">
        <v>56</v>
      </c>
      <c r="G294" t="s">
        <v>38</v>
      </c>
      <c r="H294" t="s">
        <v>39</v>
      </c>
      <c r="I294" t="s">
        <v>26</v>
      </c>
      <c r="J294" t="s">
        <v>78</v>
      </c>
      <c r="K294" t="s">
        <v>79</v>
      </c>
      <c r="L294" t="s">
        <v>156</v>
      </c>
      <c r="M294">
        <v>2</v>
      </c>
      <c r="N294">
        <v>800</v>
      </c>
      <c r="O294">
        <v>0</v>
      </c>
      <c r="P294">
        <v>1600</v>
      </c>
      <c r="Q294">
        <v>445.75</v>
      </c>
      <c r="R294" t="s">
        <v>50</v>
      </c>
      <c r="S294" t="s">
        <v>51</v>
      </c>
      <c r="T294" t="s">
        <v>52</v>
      </c>
    </row>
    <row r="295" spans="1:20" x14ac:dyDescent="0.35">
      <c r="A295" t="s">
        <v>858</v>
      </c>
      <c r="B295" t="s">
        <v>859</v>
      </c>
      <c r="C295" t="s">
        <v>131</v>
      </c>
      <c r="D295" t="s">
        <v>418</v>
      </c>
      <c r="E295" t="s">
        <v>37</v>
      </c>
      <c r="F295">
        <v>44</v>
      </c>
      <c r="G295" t="s">
        <v>114</v>
      </c>
      <c r="H295" t="s">
        <v>115</v>
      </c>
      <c r="I295" t="s">
        <v>88</v>
      </c>
      <c r="J295" t="s">
        <v>47</v>
      </c>
      <c r="K295" t="s">
        <v>48</v>
      </c>
      <c r="L295" t="s">
        <v>49</v>
      </c>
      <c r="M295">
        <v>3</v>
      </c>
      <c r="N295">
        <v>150</v>
      </c>
      <c r="O295">
        <v>5</v>
      </c>
      <c r="P295">
        <v>427.5</v>
      </c>
      <c r="Q295">
        <v>47.28</v>
      </c>
      <c r="R295" t="s">
        <v>41</v>
      </c>
      <c r="S295" t="s">
        <v>31</v>
      </c>
      <c r="T295" t="s">
        <v>117</v>
      </c>
    </row>
    <row r="296" spans="1:20" x14ac:dyDescent="0.35">
      <c r="A296" t="s">
        <v>860</v>
      </c>
      <c r="B296" t="s">
        <v>861</v>
      </c>
      <c r="C296" t="s">
        <v>522</v>
      </c>
      <c r="D296" t="s">
        <v>105</v>
      </c>
      <c r="E296" t="s">
        <v>23</v>
      </c>
      <c r="F296">
        <v>53</v>
      </c>
      <c r="G296" t="s">
        <v>86</v>
      </c>
      <c r="H296" t="s">
        <v>87</v>
      </c>
      <c r="I296" t="s">
        <v>88</v>
      </c>
      <c r="J296" t="s">
        <v>27</v>
      </c>
      <c r="K296" t="s">
        <v>28</v>
      </c>
      <c r="L296" t="s">
        <v>40</v>
      </c>
      <c r="M296">
        <v>2</v>
      </c>
      <c r="N296">
        <v>2500</v>
      </c>
      <c r="O296">
        <v>20</v>
      </c>
      <c r="P296">
        <v>4000</v>
      </c>
      <c r="Q296">
        <v>570.80999999999995</v>
      </c>
      <c r="R296" t="s">
        <v>50</v>
      </c>
      <c r="S296" t="s">
        <v>51</v>
      </c>
      <c r="T296" t="s">
        <v>93</v>
      </c>
    </row>
    <row r="297" spans="1:20" x14ac:dyDescent="0.35">
      <c r="A297" t="s">
        <v>862</v>
      </c>
      <c r="B297" t="s">
        <v>722</v>
      </c>
      <c r="C297" t="s">
        <v>143</v>
      </c>
      <c r="D297" t="s">
        <v>441</v>
      </c>
      <c r="E297" t="s">
        <v>23</v>
      </c>
      <c r="F297">
        <v>35</v>
      </c>
      <c r="G297" t="s">
        <v>38</v>
      </c>
      <c r="H297" t="s">
        <v>39</v>
      </c>
      <c r="I297" t="s">
        <v>26</v>
      </c>
      <c r="J297" t="s">
        <v>27</v>
      </c>
      <c r="K297" t="s">
        <v>28</v>
      </c>
      <c r="L297" t="s">
        <v>73</v>
      </c>
      <c r="M297">
        <v>1</v>
      </c>
      <c r="N297">
        <v>25000</v>
      </c>
      <c r="O297">
        <v>15</v>
      </c>
      <c r="P297">
        <v>21250</v>
      </c>
      <c r="Q297">
        <v>3204.28</v>
      </c>
      <c r="R297" t="s">
        <v>81</v>
      </c>
      <c r="S297" t="s">
        <v>51</v>
      </c>
      <c r="T297" t="s">
        <v>52</v>
      </c>
    </row>
    <row r="298" spans="1:20" x14ac:dyDescent="0.35">
      <c r="A298" t="s">
        <v>863</v>
      </c>
      <c r="B298" t="s">
        <v>779</v>
      </c>
      <c r="C298" t="s">
        <v>497</v>
      </c>
      <c r="D298" t="s">
        <v>278</v>
      </c>
      <c r="E298" t="s">
        <v>23</v>
      </c>
      <c r="F298">
        <v>51</v>
      </c>
      <c r="G298" t="s">
        <v>114</v>
      </c>
      <c r="H298" t="s">
        <v>115</v>
      </c>
      <c r="I298" t="s">
        <v>88</v>
      </c>
      <c r="J298" t="s">
        <v>78</v>
      </c>
      <c r="K298" t="s">
        <v>79</v>
      </c>
      <c r="L298" t="s">
        <v>156</v>
      </c>
      <c r="M298">
        <v>3</v>
      </c>
      <c r="N298">
        <v>800</v>
      </c>
      <c r="O298">
        <v>20</v>
      </c>
      <c r="P298">
        <v>1920</v>
      </c>
      <c r="Q298">
        <v>432.32</v>
      </c>
      <c r="R298" t="s">
        <v>41</v>
      </c>
      <c r="S298" t="s">
        <v>51</v>
      </c>
      <c r="T298" t="s">
        <v>93</v>
      </c>
    </row>
    <row r="299" spans="1:20" x14ac:dyDescent="0.35">
      <c r="A299" t="s">
        <v>864</v>
      </c>
      <c r="B299" t="s">
        <v>865</v>
      </c>
      <c r="C299" t="s">
        <v>361</v>
      </c>
      <c r="D299" t="s">
        <v>852</v>
      </c>
      <c r="E299" t="s">
        <v>23</v>
      </c>
      <c r="F299">
        <v>28</v>
      </c>
      <c r="G299" t="s">
        <v>126</v>
      </c>
      <c r="H299" t="s">
        <v>127</v>
      </c>
      <c r="I299" t="s">
        <v>88</v>
      </c>
      <c r="J299" t="s">
        <v>78</v>
      </c>
      <c r="K299" t="s">
        <v>79</v>
      </c>
      <c r="L299" t="s">
        <v>101</v>
      </c>
      <c r="M299">
        <v>1</v>
      </c>
      <c r="N299">
        <v>3500</v>
      </c>
      <c r="O299">
        <v>15</v>
      </c>
      <c r="P299">
        <v>2975</v>
      </c>
      <c r="Q299">
        <v>782.41</v>
      </c>
      <c r="R299" t="s">
        <v>59</v>
      </c>
      <c r="S299" t="s">
        <v>51</v>
      </c>
      <c r="T299" t="s">
        <v>60</v>
      </c>
    </row>
    <row r="300" spans="1:20" x14ac:dyDescent="0.35">
      <c r="A300" t="s">
        <v>866</v>
      </c>
      <c r="B300" t="s">
        <v>473</v>
      </c>
      <c r="C300" t="s">
        <v>609</v>
      </c>
      <c r="D300" t="s">
        <v>643</v>
      </c>
      <c r="E300" t="s">
        <v>37</v>
      </c>
      <c r="F300">
        <v>34</v>
      </c>
      <c r="G300" t="s">
        <v>114</v>
      </c>
      <c r="H300" t="s">
        <v>115</v>
      </c>
      <c r="I300" t="s">
        <v>88</v>
      </c>
      <c r="J300" t="s">
        <v>78</v>
      </c>
      <c r="K300" t="s">
        <v>79</v>
      </c>
      <c r="L300" t="s">
        <v>101</v>
      </c>
      <c r="M300">
        <v>3</v>
      </c>
      <c r="N300">
        <v>3500</v>
      </c>
      <c r="O300">
        <v>15</v>
      </c>
      <c r="P300">
        <v>8925</v>
      </c>
      <c r="Q300">
        <v>1669.36</v>
      </c>
      <c r="R300" t="s">
        <v>59</v>
      </c>
      <c r="S300" t="s">
        <v>92</v>
      </c>
      <c r="T300" t="s">
        <v>93</v>
      </c>
    </row>
    <row r="301" spans="1:20" x14ac:dyDescent="0.35">
      <c r="A301" t="s">
        <v>867</v>
      </c>
      <c r="B301" t="s">
        <v>868</v>
      </c>
      <c r="C301" t="s">
        <v>736</v>
      </c>
      <c r="D301" t="s">
        <v>22</v>
      </c>
      <c r="E301" t="s">
        <v>37</v>
      </c>
      <c r="F301">
        <v>59</v>
      </c>
      <c r="G301" t="s">
        <v>86</v>
      </c>
      <c r="H301" t="s">
        <v>87</v>
      </c>
      <c r="I301" t="s">
        <v>88</v>
      </c>
      <c r="J301" t="s">
        <v>27</v>
      </c>
      <c r="K301" t="s">
        <v>28</v>
      </c>
      <c r="L301" t="s">
        <v>73</v>
      </c>
      <c r="M301">
        <v>4</v>
      </c>
      <c r="N301">
        <v>25000</v>
      </c>
      <c r="O301">
        <v>5</v>
      </c>
      <c r="P301">
        <v>95000</v>
      </c>
      <c r="Q301">
        <v>10121.24</v>
      </c>
      <c r="R301" t="s">
        <v>30</v>
      </c>
      <c r="S301" t="s">
        <v>92</v>
      </c>
      <c r="T301" t="s">
        <v>65</v>
      </c>
    </row>
    <row r="302" spans="1:20" x14ac:dyDescent="0.35">
      <c r="A302" t="s">
        <v>869</v>
      </c>
      <c r="B302" t="s">
        <v>870</v>
      </c>
      <c r="C302" t="s">
        <v>112</v>
      </c>
      <c r="D302" t="s">
        <v>602</v>
      </c>
      <c r="E302" t="s">
        <v>37</v>
      </c>
      <c r="F302">
        <v>43</v>
      </c>
      <c r="G302" t="s">
        <v>86</v>
      </c>
      <c r="H302" t="s">
        <v>87</v>
      </c>
      <c r="I302" t="s">
        <v>88</v>
      </c>
      <c r="J302" t="s">
        <v>47</v>
      </c>
      <c r="K302" t="s">
        <v>48</v>
      </c>
      <c r="L302" t="s">
        <v>116</v>
      </c>
      <c r="M302">
        <v>5</v>
      </c>
      <c r="N302">
        <v>120</v>
      </c>
      <c r="O302">
        <v>10</v>
      </c>
      <c r="P302">
        <v>540</v>
      </c>
      <c r="Q302">
        <v>75.67</v>
      </c>
      <c r="R302" t="s">
        <v>30</v>
      </c>
      <c r="S302" t="s">
        <v>31</v>
      </c>
      <c r="T302" t="s">
        <v>117</v>
      </c>
    </row>
    <row r="303" spans="1:20" x14ac:dyDescent="0.35">
      <c r="A303" t="s">
        <v>871</v>
      </c>
      <c r="B303" t="s">
        <v>872</v>
      </c>
      <c r="C303" t="s">
        <v>429</v>
      </c>
      <c r="D303" t="s">
        <v>833</v>
      </c>
      <c r="E303" t="s">
        <v>23</v>
      </c>
      <c r="F303">
        <v>48</v>
      </c>
      <c r="G303" t="s">
        <v>114</v>
      </c>
      <c r="H303" t="s">
        <v>115</v>
      </c>
      <c r="I303" t="s">
        <v>88</v>
      </c>
      <c r="J303" t="s">
        <v>27</v>
      </c>
      <c r="K303" t="s">
        <v>28</v>
      </c>
      <c r="L303" t="s">
        <v>29</v>
      </c>
      <c r="M303">
        <v>4</v>
      </c>
      <c r="N303">
        <v>12000</v>
      </c>
      <c r="O303">
        <v>20</v>
      </c>
      <c r="P303">
        <v>38400</v>
      </c>
      <c r="Q303">
        <v>6650.79</v>
      </c>
      <c r="R303" t="s">
        <v>81</v>
      </c>
      <c r="S303" t="s">
        <v>51</v>
      </c>
      <c r="T303" t="s">
        <v>60</v>
      </c>
    </row>
    <row r="304" spans="1:20" x14ac:dyDescent="0.35">
      <c r="A304" t="s">
        <v>873</v>
      </c>
      <c r="B304" t="s">
        <v>95</v>
      </c>
      <c r="C304" t="s">
        <v>707</v>
      </c>
      <c r="D304" t="s">
        <v>874</v>
      </c>
      <c r="E304" t="s">
        <v>23</v>
      </c>
      <c r="F304">
        <v>56</v>
      </c>
      <c r="G304" t="s">
        <v>126</v>
      </c>
      <c r="H304" t="s">
        <v>127</v>
      </c>
      <c r="I304" t="s">
        <v>88</v>
      </c>
      <c r="J304" t="s">
        <v>47</v>
      </c>
      <c r="K304" t="s">
        <v>48</v>
      </c>
      <c r="L304" t="s">
        <v>215</v>
      </c>
      <c r="M304">
        <v>2</v>
      </c>
      <c r="N304">
        <v>450</v>
      </c>
      <c r="O304">
        <v>10</v>
      </c>
      <c r="P304">
        <v>810</v>
      </c>
      <c r="Q304">
        <v>225.74</v>
      </c>
      <c r="R304" t="s">
        <v>41</v>
      </c>
      <c r="S304" t="s">
        <v>51</v>
      </c>
      <c r="T304" t="s">
        <v>65</v>
      </c>
    </row>
    <row r="305" spans="1:20" x14ac:dyDescent="0.35">
      <c r="A305" t="s">
        <v>875</v>
      </c>
      <c r="B305" t="s">
        <v>876</v>
      </c>
      <c r="C305" t="s">
        <v>542</v>
      </c>
      <c r="D305" t="s">
        <v>877</v>
      </c>
      <c r="E305" t="s">
        <v>23</v>
      </c>
      <c r="F305">
        <v>50</v>
      </c>
      <c r="G305" t="s">
        <v>46</v>
      </c>
      <c r="H305" t="s">
        <v>25</v>
      </c>
      <c r="I305" t="s">
        <v>26</v>
      </c>
      <c r="J305" t="s">
        <v>89</v>
      </c>
      <c r="K305" t="s">
        <v>90</v>
      </c>
      <c r="L305" t="s">
        <v>128</v>
      </c>
      <c r="M305">
        <v>3</v>
      </c>
      <c r="N305">
        <v>7000</v>
      </c>
      <c r="O305">
        <v>5</v>
      </c>
      <c r="P305">
        <v>19950</v>
      </c>
      <c r="Q305">
        <v>3197.56</v>
      </c>
      <c r="R305" t="s">
        <v>41</v>
      </c>
      <c r="S305" t="s">
        <v>51</v>
      </c>
      <c r="T305" t="s">
        <v>60</v>
      </c>
    </row>
    <row r="306" spans="1:20" x14ac:dyDescent="0.35">
      <c r="A306" t="s">
        <v>878</v>
      </c>
      <c r="B306" t="s">
        <v>177</v>
      </c>
      <c r="C306" t="s">
        <v>494</v>
      </c>
      <c r="D306" t="s">
        <v>677</v>
      </c>
      <c r="E306" t="s">
        <v>37</v>
      </c>
      <c r="F306">
        <v>21</v>
      </c>
      <c r="G306" t="s">
        <v>126</v>
      </c>
      <c r="H306" t="s">
        <v>127</v>
      </c>
      <c r="I306" t="s">
        <v>88</v>
      </c>
      <c r="J306" t="s">
        <v>47</v>
      </c>
      <c r="K306" t="s">
        <v>48</v>
      </c>
      <c r="L306" t="s">
        <v>49</v>
      </c>
      <c r="M306">
        <v>1</v>
      </c>
      <c r="N306">
        <v>150</v>
      </c>
      <c r="O306">
        <v>10</v>
      </c>
      <c r="P306">
        <v>135</v>
      </c>
      <c r="Q306">
        <v>23.1</v>
      </c>
      <c r="R306" t="s">
        <v>41</v>
      </c>
      <c r="S306" t="s">
        <v>51</v>
      </c>
      <c r="T306" t="s">
        <v>52</v>
      </c>
    </row>
    <row r="307" spans="1:20" x14ac:dyDescent="0.35">
      <c r="A307" t="s">
        <v>879</v>
      </c>
      <c r="B307" t="s">
        <v>130</v>
      </c>
      <c r="C307" t="s">
        <v>508</v>
      </c>
      <c r="D307" t="s">
        <v>113</v>
      </c>
      <c r="E307" t="s">
        <v>37</v>
      </c>
      <c r="F307">
        <v>35</v>
      </c>
      <c r="G307" t="s">
        <v>46</v>
      </c>
      <c r="H307" t="s">
        <v>25</v>
      </c>
      <c r="I307" t="s">
        <v>26</v>
      </c>
      <c r="J307" t="s">
        <v>27</v>
      </c>
      <c r="K307" t="s">
        <v>28</v>
      </c>
      <c r="L307" t="s">
        <v>140</v>
      </c>
      <c r="M307">
        <v>3</v>
      </c>
      <c r="N307">
        <v>65000</v>
      </c>
      <c r="O307">
        <v>10</v>
      </c>
      <c r="P307">
        <v>175500</v>
      </c>
      <c r="Q307">
        <v>25812.28</v>
      </c>
      <c r="R307" t="s">
        <v>41</v>
      </c>
      <c r="S307" t="s">
        <v>92</v>
      </c>
      <c r="T307" t="s">
        <v>60</v>
      </c>
    </row>
    <row r="308" spans="1:20" x14ac:dyDescent="0.35">
      <c r="A308" t="s">
        <v>880</v>
      </c>
      <c r="B308" t="s">
        <v>297</v>
      </c>
      <c r="C308" t="s">
        <v>171</v>
      </c>
      <c r="D308" t="s">
        <v>230</v>
      </c>
      <c r="E308" t="s">
        <v>23</v>
      </c>
      <c r="F308">
        <v>32</v>
      </c>
      <c r="G308" t="s">
        <v>57</v>
      </c>
      <c r="H308" t="s">
        <v>57</v>
      </c>
      <c r="I308" t="s">
        <v>58</v>
      </c>
      <c r="J308" t="s">
        <v>89</v>
      </c>
      <c r="K308" t="s">
        <v>90</v>
      </c>
      <c r="L308" t="s">
        <v>128</v>
      </c>
      <c r="M308">
        <v>4</v>
      </c>
      <c r="N308">
        <v>7000</v>
      </c>
      <c r="O308">
        <v>0</v>
      </c>
      <c r="P308">
        <v>28000</v>
      </c>
      <c r="Q308">
        <v>2907.23</v>
      </c>
      <c r="R308" t="s">
        <v>59</v>
      </c>
      <c r="S308" t="s">
        <v>31</v>
      </c>
      <c r="T308" t="s">
        <v>117</v>
      </c>
    </row>
    <row r="309" spans="1:20" x14ac:dyDescent="0.35">
      <c r="A309" t="s">
        <v>881</v>
      </c>
      <c r="B309" t="s">
        <v>882</v>
      </c>
      <c r="C309" t="s">
        <v>260</v>
      </c>
      <c r="D309" t="s">
        <v>883</v>
      </c>
      <c r="E309" t="s">
        <v>23</v>
      </c>
      <c r="F309">
        <v>52</v>
      </c>
      <c r="G309" t="s">
        <v>46</v>
      </c>
      <c r="H309" t="s">
        <v>25</v>
      </c>
      <c r="I309" t="s">
        <v>26</v>
      </c>
      <c r="J309" t="s">
        <v>78</v>
      </c>
      <c r="K309" t="s">
        <v>79</v>
      </c>
      <c r="L309" t="s">
        <v>156</v>
      </c>
      <c r="M309">
        <v>1</v>
      </c>
      <c r="N309">
        <v>800</v>
      </c>
      <c r="O309">
        <v>5</v>
      </c>
      <c r="P309">
        <v>760</v>
      </c>
      <c r="Q309">
        <v>106.48</v>
      </c>
      <c r="R309" t="s">
        <v>41</v>
      </c>
      <c r="S309" t="s">
        <v>51</v>
      </c>
      <c r="T309" t="s">
        <v>93</v>
      </c>
    </row>
    <row r="310" spans="1:20" x14ac:dyDescent="0.35">
      <c r="A310" t="s">
        <v>884</v>
      </c>
      <c r="B310" t="s">
        <v>885</v>
      </c>
      <c r="C310" t="s">
        <v>376</v>
      </c>
      <c r="D310" t="s">
        <v>362</v>
      </c>
      <c r="E310" t="s">
        <v>23</v>
      </c>
      <c r="F310">
        <v>40</v>
      </c>
      <c r="G310" t="s">
        <v>46</v>
      </c>
      <c r="H310" t="s">
        <v>25</v>
      </c>
      <c r="I310" t="s">
        <v>26</v>
      </c>
      <c r="J310" t="s">
        <v>27</v>
      </c>
      <c r="K310" t="s">
        <v>28</v>
      </c>
      <c r="L310" t="s">
        <v>73</v>
      </c>
      <c r="M310">
        <v>3</v>
      </c>
      <c r="N310">
        <v>25000</v>
      </c>
      <c r="O310">
        <v>0</v>
      </c>
      <c r="P310">
        <v>75000</v>
      </c>
      <c r="Q310">
        <v>19488.509999999998</v>
      </c>
      <c r="R310" t="s">
        <v>30</v>
      </c>
      <c r="S310" t="s">
        <v>51</v>
      </c>
      <c r="T310" t="s">
        <v>32</v>
      </c>
    </row>
    <row r="311" spans="1:20" x14ac:dyDescent="0.35">
      <c r="A311" t="s">
        <v>886</v>
      </c>
      <c r="B311" t="s">
        <v>727</v>
      </c>
      <c r="C311" t="s">
        <v>214</v>
      </c>
      <c r="D311" t="s">
        <v>827</v>
      </c>
      <c r="E311" t="s">
        <v>23</v>
      </c>
      <c r="F311">
        <v>22</v>
      </c>
      <c r="G311" t="s">
        <v>46</v>
      </c>
      <c r="H311" t="s">
        <v>25</v>
      </c>
      <c r="I311" t="s">
        <v>26</v>
      </c>
      <c r="J311" t="s">
        <v>78</v>
      </c>
      <c r="K311" t="s">
        <v>79</v>
      </c>
      <c r="L311" t="s">
        <v>156</v>
      </c>
      <c r="M311">
        <v>2</v>
      </c>
      <c r="N311">
        <v>800</v>
      </c>
      <c r="O311">
        <v>0</v>
      </c>
      <c r="P311">
        <v>1600</v>
      </c>
      <c r="Q311">
        <v>339.33</v>
      </c>
      <c r="R311" t="s">
        <v>81</v>
      </c>
      <c r="S311" t="s">
        <v>51</v>
      </c>
      <c r="T311" t="s">
        <v>52</v>
      </c>
    </row>
    <row r="312" spans="1:20" x14ac:dyDescent="0.35">
      <c r="A312" t="s">
        <v>887</v>
      </c>
      <c r="B312" t="s">
        <v>888</v>
      </c>
      <c r="C312" t="s">
        <v>185</v>
      </c>
      <c r="D312" t="s">
        <v>358</v>
      </c>
      <c r="E312" t="s">
        <v>37</v>
      </c>
      <c r="F312">
        <v>53</v>
      </c>
      <c r="G312" t="s">
        <v>46</v>
      </c>
      <c r="H312" t="s">
        <v>25</v>
      </c>
      <c r="I312" t="s">
        <v>26</v>
      </c>
      <c r="J312" t="s">
        <v>89</v>
      </c>
      <c r="K312" t="s">
        <v>90</v>
      </c>
      <c r="L312" t="s">
        <v>91</v>
      </c>
      <c r="M312">
        <v>3</v>
      </c>
      <c r="N312">
        <v>9000</v>
      </c>
      <c r="O312">
        <v>20</v>
      </c>
      <c r="P312">
        <v>21600</v>
      </c>
      <c r="Q312">
        <v>2456.58</v>
      </c>
      <c r="R312" t="s">
        <v>81</v>
      </c>
      <c r="S312" t="s">
        <v>92</v>
      </c>
      <c r="T312" t="s">
        <v>60</v>
      </c>
    </row>
    <row r="313" spans="1:20" x14ac:dyDescent="0.35">
      <c r="A313" t="s">
        <v>889</v>
      </c>
      <c r="B313" t="s">
        <v>463</v>
      </c>
      <c r="C313" t="s">
        <v>124</v>
      </c>
      <c r="D313" t="s">
        <v>437</v>
      </c>
      <c r="E313" t="s">
        <v>23</v>
      </c>
      <c r="F313">
        <v>32</v>
      </c>
      <c r="G313" t="s">
        <v>24</v>
      </c>
      <c r="H313" t="s">
        <v>25</v>
      </c>
      <c r="I313" t="s">
        <v>26</v>
      </c>
      <c r="J313" t="s">
        <v>27</v>
      </c>
      <c r="K313" t="s">
        <v>28</v>
      </c>
      <c r="L313" t="s">
        <v>140</v>
      </c>
      <c r="M313">
        <v>2</v>
      </c>
      <c r="N313">
        <v>65000</v>
      </c>
      <c r="O313">
        <v>5</v>
      </c>
      <c r="P313">
        <v>123500</v>
      </c>
      <c r="Q313">
        <v>32179.86</v>
      </c>
      <c r="R313" t="s">
        <v>59</v>
      </c>
      <c r="S313" t="s">
        <v>51</v>
      </c>
      <c r="T313" t="s">
        <v>117</v>
      </c>
    </row>
    <row r="314" spans="1:20" x14ac:dyDescent="0.35">
      <c r="A314" t="s">
        <v>890</v>
      </c>
      <c r="B314" t="s">
        <v>445</v>
      </c>
      <c r="C314" t="s">
        <v>357</v>
      </c>
      <c r="D314" t="s">
        <v>786</v>
      </c>
      <c r="E314" t="s">
        <v>23</v>
      </c>
      <c r="F314">
        <v>27</v>
      </c>
      <c r="G314" t="s">
        <v>46</v>
      </c>
      <c r="H314" t="s">
        <v>25</v>
      </c>
      <c r="I314" t="s">
        <v>26</v>
      </c>
      <c r="J314" t="s">
        <v>89</v>
      </c>
      <c r="K314" t="s">
        <v>90</v>
      </c>
      <c r="L314" t="s">
        <v>242</v>
      </c>
      <c r="M314">
        <v>4</v>
      </c>
      <c r="N314">
        <v>6000</v>
      </c>
      <c r="O314">
        <v>15</v>
      </c>
      <c r="P314">
        <v>20400</v>
      </c>
      <c r="Q314">
        <v>4599.45</v>
      </c>
      <c r="R314" t="s">
        <v>50</v>
      </c>
      <c r="S314" t="s">
        <v>92</v>
      </c>
      <c r="T314" t="s">
        <v>65</v>
      </c>
    </row>
    <row r="315" spans="1:20" x14ac:dyDescent="0.35">
      <c r="A315" t="s">
        <v>891</v>
      </c>
      <c r="B315" t="s">
        <v>892</v>
      </c>
      <c r="C315" t="s">
        <v>893</v>
      </c>
      <c r="D315" t="s">
        <v>365</v>
      </c>
      <c r="E315" t="s">
        <v>23</v>
      </c>
      <c r="F315">
        <v>26</v>
      </c>
      <c r="G315" t="s">
        <v>46</v>
      </c>
      <c r="H315" t="s">
        <v>25</v>
      </c>
      <c r="I315" t="s">
        <v>26</v>
      </c>
      <c r="J315" t="s">
        <v>78</v>
      </c>
      <c r="K315" t="s">
        <v>79</v>
      </c>
      <c r="L315" t="s">
        <v>156</v>
      </c>
      <c r="M315">
        <v>3</v>
      </c>
      <c r="N315">
        <v>800</v>
      </c>
      <c r="O315">
        <v>10</v>
      </c>
      <c r="P315">
        <v>2160</v>
      </c>
      <c r="Q315">
        <v>434.46</v>
      </c>
      <c r="R315" t="s">
        <v>30</v>
      </c>
      <c r="S315" t="s">
        <v>31</v>
      </c>
      <c r="T315" t="s">
        <v>52</v>
      </c>
    </row>
    <row r="316" spans="1:20" x14ac:dyDescent="0.35">
      <c r="A316" t="s">
        <v>894</v>
      </c>
      <c r="B316" t="s">
        <v>95</v>
      </c>
      <c r="C316" t="s">
        <v>84</v>
      </c>
      <c r="D316" t="s">
        <v>581</v>
      </c>
      <c r="E316" t="s">
        <v>23</v>
      </c>
      <c r="F316">
        <v>26</v>
      </c>
      <c r="G316" t="s">
        <v>57</v>
      </c>
      <c r="H316" t="s">
        <v>57</v>
      </c>
      <c r="I316" t="s">
        <v>58</v>
      </c>
      <c r="J316" t="s">
        <v>89</v>
      </c>
      <c r="K316" t="s">
        <v>90</v>
      </c>
      <c r="L316" t="s">
        <v>91</v>
      </c>
      <c r="M316">
        <v>4</v>
      </c>
      <c r="N316">
        <v>9000</v>
      </c>
      <c r="O316">
        <v>15</v>
      </c>
      <c r="P316">
        <v>30600</v>
      </c>
      <c r="Q316">
        <v>4643.93</v>
      </c>
      <c r="R316" t="s">
        <v>41</v>
      </c>
      <c r="S316" t="s">
        <v>51</v>
      </c>
      <c r="T316" t="s">
        <v>32</v>
      </c>
    </row>
    <row r="317" spans="1:20" x14ac:dyDescent="0.35">
      <c r="A317" t="s">
        <v>895</v>
      </c>
      <c r="B317" t="s">
        <v>519</v>
      </c>
      <c r="C317" t="s">
        <v>554</v>
      </c>
      <c r="D317" t="s">
        <v>182</v>
      </c>
      <c r="E317" t="s">
        <v>23</v>
      </c>
      <c r="F317">
        <v>45</v>
      </c>
      <c r="G317" t="s">
        <v>24</v>
      </c>
      <c r="H317" t="s">
        <v>25</v>
      </c>
      <c r="I317" t="s">
        <v>26</v>
      </c>
      <c r="J317" t="s">
        <v>27</v>
      </c>
      <c r="K317" t="s">
        <v>28</v>
      </c>
      <c r="L317" t="s">
        <v>29</v>
      </c>
      <c r="M317">
        <v>3</v>
      </c>
      <c r="N317">
        <v>12000</v>
      </c>
      <c r="O317">
        <v>15</v>
      </c>
      <c r="P317">
        <v>30600</v>
      </c>
      <c r="Q317">
        <v>6550.65</v>
      </c>
      <c r="R317" t="s">
        <v>59</v>
      </c>
      <c r="S317" t="s">
        <v>51</v>
      </c>
      <c r="T317" t="s">
        <v>52</v>
      </c>
    </row>
    <row r="318" spans="1:20" x14ac:dyDescent="0.35">
      <c r="A318" t="s">
        <v>896</v>
      </c>
      <c r="B318" t="s">
        <v>897</v>
      </c>
      <c r="C318" t="s">
        <v>601</v>
      </c>
      <c r="D318" t="s">
        <v>238</v>
      </c>
      <c r="E318" t="s">
        <v>37</v>
      </c>
      <c r="F318">
        <v>46</v>
      </c>
      <c r="G318" t="s">
        <v>114</v>
      </c>
      <c r="H318" t="s">
        <v>115</v>
      </c>
      <c r="I318" t="s">
        <v>88</v>
      </c>
      <c r="J318" t="s">
        <v>89</v>
      </c>
      <c r="K318" t="s">
        <v>90</v>
      </c>
      <c r="L318" t="s">
        <v>242</v>
      </c>
      <c r="M318">
        <v>5</v>
      </c>
      <c r="N318">
        <v>6000</v>
      </c>
      <c r="O318">
        <v>0</v>
      </c>
      <c r="P318">
        <v>30000</v>
      </c>
      <c r="Q318">
        <v>3924.67</v>
      </c>
      <c r="R318" t="s">
        <v>41</v>
      </c>
      <c r="S318" t="s">
        <v>51</v>
      </c>
      <c r="T318" t="s">
        <v>65</v>
      </c>
    </row>
    <row r="319" spans="1:20" x14ac:dyDescent="0.35">
      <c r="A319" t="s">
        <v>898</v>
      </c>
      <c r="B319" t="s">
        <v>899</v>
      </c>
      <c r="C319" t="s">
        <v>839</v>
      </c>
      <c r="D319" t="s">
        <v>639</v>
      </c>
      <c r="E319" t="s">
        <v>37</v>
      </c>
      <c r="F319">
        <v>25</v>
      </c>
      <c r="G319" t="s">
        <v>98</v>
      </c>
      <c r="H319" t="s">
        <v>99</v>
      </c>
      <c r="I319" t="s">
        <v>100</v>
      </c>
      <c r="J319" t="s">
        <v>27</v>
      </c>
      <c r="K319" t="s">
        <v>28</v>
      </c>
      <c r="L319" t="s">
        <v>140</v>
      </c>
      <c r="M319">
        <v>4</v>
      </c>
      <c r="N319">
        <v>65000</v>
      </c>
      <c r="O319">
        <v>5</v>
      </c>
      <c r="P319">
        <v>247000</v>
      </c>
      <c r="Q319">
        <v>55968.86</v>
      </c>
      <c r="R319" t="s">
        <v>30</v>
      </c>
      <c r="S319" t="s">
        <v>92</v>
      </c>
      <c r="T319" t="s">
        <v>93</v>
      </c>
    </row>
    <row r="320" spans="1:20" x14ac:dyDescent="0.35">
      <c r="A320" t="s">
        <v>900</v>
      </c>
      <c r="B320" t="s">
        <v>722</v>
      </c>
      <c r="C320" t="s">
        <v>554</v>
      </c>
      <c r="D320" t="s">
        <v>560</v>
      </c>
      <c r="E320" t="s">
        <v>23</v>
      </c>
      <c r="F320">
        <v>36</v>
      </c>
      <c r="G320" t="s">
        <v>86</v>
      </c>
      <c r="H320" t="s">
        <v>87</v>
      </c>
      <c r="I320" t="s">
        <v>88</v>
      </c>
      <c r="J320" t="s">
        <v>47</v>
      </c>
      <c r="K320" t="s">
        <v>48</v>
      </c>
      <c r="L320" t="s">
        <v>49</v>
      </c>
      <c r="M320">
        <v>2</v>
      </c>
      <c r="N320">
        <v>150</v>
      </c>
      <c r="O320">
        <v>15</v>
      </c>
      <c r="P320">
        <v>255</v>
      </c>
      <c r="Q320">
        <v>31.87</v>
      </c>
      <c r="R320" t="s">
        <v>50</v>
      </c>
      <c r="S320" t="s">
        <v>92</v>
      </c>
      <c r="T320" t="s">
        <v>93</v>
      </c>
    </row>
    <row r="321" spans="1:20" x14ac:dyDescent="0.35">
      <c r="A321" t="s">
        <v>901</v>
      </c>
      <c r="B321" t="s">
        <v>902</v>
      </c>
      <c r="C321" t="s">
        <v>84</v>
      </c>
      <c r="D321" t="s">
        <v>903</v>
      </c>
      <c r="E321" t="s">
        <v>23</v>
      </c>
      <c r="F321">
        <v>24</v>
      </c>
      <c r="G321" t="s">
        <v>24</v>
      </c>
      <c r="H321" t="s">
        <v>25</v>
      </c>
      <c r="I321" t="s">
        <v>26</v>
      </c>
      <c r="J321" t="s">
        <v>47</v>
      </c>
      <c r="K321" t="s">
        <v>48</v>
      </c>
      <c r="L321" t="s">
        <v>49</v>
      </c>
      <c r="M321">
        <v>5</v>
      </c>
      <c r="N321">
        <v>150</v>
      </c>
      <c r="O321">
        <v>15</v>
      </c>
      <c r="P321">
        <v>637.5</v>
      </c>
      <c r="Q321">
        <v>101.03</v>
      </c>
      <c r="R321" t="s">
        <v>50</v>
      </c>
      <c r="S321" t="s">
        <v>51</v>
      </c>
      <c r="T321" t="s">
        <v>117</v>
      </c>
    </row>
    <row r="322" spans="1:20" x14ac:dyDescent="0.35">
      <c r="A322" t="s">
        <v>904</v>
      </c>
      <c r="B322" t="s">
        <v>905</v>
      </c>
      <c r="C322" t="s">
        <v>104</v>
      </c>
      <c r="D322" t="s">
        <v>581</v>
      </c>
      <c r="E322" t="s">
        <v>23</v>
      </c>
      <c r="F322">
        <v>50</v>
      </c>
      <c r="G322" t="s">
        <v>24</v>
      </c>
      <c r="H322" t="s">
        <v>25</v>
      </c>
      <c r="I322" t="s">
        <v>26</v>
      </c>
      <c r="J322" t="s">
        <v>47</v>
      </c>
      <c r="K322" t="s">
        <v>48</v>
      </c>
      <c r="L322" t="s">
        <v>116</v>
      </c>
      <c r="M322">
        <v>3</v>
      </c>
      <c r="N322">
        <v>120</v>
      </c>
      <c r="O322">
        <v>15</v>
      </c>
      <c r="P322">
        <v>306</v>
      </c>
      <c r="Q322">
        <v>35.39</v>
      </c>
      <c r="R322" t="s">
        <v>50</v>
      </c>
      <c r="S322" t="s">
        <v>51</v>
      </c>
      <c r="T322" t="s">
        <v>52</v>
      </c>
    </row>
    <row r="323" spans="1:20" x14ac:dyDescent="0.35">
      <c r="A323" t="s">
        <v>906</v>
      </c>
      <c r="B323" t="s">
        <v>619</v>
      </c>
      <c r="C323" t="s">
        <v>84</v>
      </c>
      <c r="D323" t="s">
        <v>801</v>
      </c>
      <c r="E323" t="s">
        <v>23</v>
      </c>
      <c r="F323">
        <v>20</v>
      </c>
      <c r="G323" t="s">
        <v>98</v>
      </c>
      <c r="H323" t="s">
        <v>99</v>
      </c>
      <c r="I323" t="s">
        <v>100</v>
      </c>
      <c r="J323" t="s">
        <v>89</v>
      </c>
      <c r="K323" t="s">
        <v>90</v>
      </c>
      <c r="L323" t="s">
        <v>128</v>
      </c>
      <c r="M323">
        <v>2</v>
      </c>
      <c r="N323">
        <v>7000</v>
      </c>
      <c r="O323">
        <v>20</v>
      </c>
      <c r="P323">
        <v>11200</v>
      </c>
      <c r="Q323">
        <v>3043.75</v>
      </c>
      <c r="R323" t="s">
        <v>50</v>
      </c>
      <c r="S323" t="s">
        <v>51</v>
      </c>
      <c r="T323" t="s">
        <v>60</v>
      </c>
    </row>
    <row r="324" spans="1:20" x14ac:dyDescent="0.35">
      <c r="A324" t="s">
        <v>907</v>
      </c>
      <c r="B324" t="s">
        <v>908</v>
      </c>
      <c r="C324" t="s">
        <v>909</v>
      </c>
      <c r="D324" t="s">
        <v>511</v>
      </c>
      <c r="E324" t="s">
        <v>23</v>
      </c>
      <c r="F324">
        <v>47</v>
      </c>
      <c r="G324" t="s">
        <v>126</v>
      </c>
      <c r="H324" t="s">
        <v>127</v>
      </c>
      <c r="I324" t="s">
        <v>88</v>
      </c>
      <c r="J324" t="s">
        <v>78</v>
      </c>
      <c r="K324" t="s">
        <v>79</v>
      </c>
      <c r="L324" t="s">
        <v>80</v>
      </c>
      <c r="M324">
        <v>5</v>
      </c>
      <c r="N324">
        <v>1800</v>
      </c>
      <c r="O324">
        <v>15</v>
      </c>
      <c r="P324">
        <v>7650</v>
      </c>
      <c r="Q324">
        <v>1292.05</v>
      </c>
      <c r="R324" t="s">
        <v>50</v>
      </c>
      <c r="S324" t="s">
        <v>51</v>
      </c>
      <c r="T324" t="s">
        <v>65</v>
      </c>
    </row>
    <row r="325" spans="1:20" x14ac:dyDescent="0.35">
      <c r="A325" t="s">
        <v>910</v>
      </c>
      <c r="B325" t="s">
        <v>557</v>
      </c>
      <c r="C325" t="s">
        <v>174</v>
      </c>
      <c r="D325" t="s">
        <v>182</v>
      </c>
      <c r="E325" t="s">
        <v>23</v>
      </c>
      <c r="F325">
        <v>50</v>
      </c>
      <c r="G325" t="s">
        <v>114</v>
      </c>
      <c r="H325" t="s">
        <v>115</v>
      </c>
      <c r="I325" t="s">
        <v>88</v>
      </c>
      <c r="J325" t="s">
        <v>78</v>
      </c>
      <c r="K325" t="s">
        <v>79</v>
      </c>
      <c r="L325" t="s">
        <v>80</v>
      </c>
      <c r="M325">
        <v>2</v>
      </c>
      <c r="N325">
        <v>1800</v>
      </c>
      <c r="O325">
        <v>10</v>
      </c>
      <c r="P325">
        <v>3240</v>
      </c>
      <c r="Q325">
        <v>639.66</v>
      </c>
      <c r="R325" t="s">
        <v>30</v>
      </c>
      <c r="S325" t="s">
        <v>51</v>
      </c>
      <c r="T325" t="s">
        <v>117</v>
      </c>
    </row>
    <row r="326" spans="1:20" x14ac:dyDescent="0.35">
      <c r="A326" t="s">
        <v>911</v>
      </c>
      <c r="B326" t="s">
        <v>912</v>
      </c>
      <c r="C326" t="s">
        <v>542</v>
      </c>
      <c r="D326" t="s">
        <v>633</v>
      </c>
      <c r="E326" t="s">
        <v>23</v>
      </c>
      <c r="F326">
        <v>33</v>
      </c>
      <c r="G326" t="s">
        <v>24</v>
      </c>
      <c r="H326" t="s">
        <v>25</v>
      </c>
      <c r="I326" t="s">
        <v>26</v>
      </c>
      <c r="J326" t="s">
        <v>47</v>
      </c>
      <c r="K326" t="s">
        <v>48</v>
      </c>
      <c r="L326" t="s">
        <v>215</v>
      </c>
      <c r="M326">
        <v>1</v>
      </c>
      <c r="N326">
        <v>450</v>
      </c>
      <c r="O326">
        <v>15</v>
      </c>
      <c r="P326">
        <v>382.5</v>
      </c>
      <c r="Q326">
        <v>30.7</v>
      </c>
      <c r="R326" t="s">
        <v>59</v>
      </c>
      <c r="S326" t="s">
        <v>51</v>
      </c>
      <c r="T326" t="s">
        <v>65</v>
      </c>
    </row>
    <row r="327" spans="1:20" x14ac:dyDescent="0.35">
      <c r="A327" t="s">
        <v>913</v>
      </c>
      <c r="B327" t="s">
        <v>210</v>
      </c>
      <c r="C327" t="s">
        <v>497</v>
      </c>
      <c r="D327" t="s">
        <v>797</v>
      </c>
      <c r="E327" t="s">
        <v>37</v>
      </c>
      <c r="F327">
        <v>41</v>
      </c>
      <c r="G327" t="s">
        <v>46</v>
      </c>
      <c r="H327" t="s">
        <v>25</v>
      </c>
      <c r="I327" t="s">
        <v>26</v>
      </c>
      <c r="J327" t="s">
        <v>27</v>
      </c>
      <c r="K327" t="s">
        <v>28</v>
      </c>
      <c r="L327" t="s">
        <v>73</v>
      </c>
      <c r="M327">
        <v>3</v>
      </c>
      <c r="N327">
        <v>25000</v>
      </c>
      <c r="O327">
        <v>20</v>
      </c>
      <c r="P327">
        <v>60000</v>
      </c>
      <c r="Q327">
        <v>12075.78</v>
      </c>
      <c r="R327" t="s">
        <v>59</v>
      </c>
      <c r="S327" t="s">
        <v>31</v>
      </c>
      <c r="T327" t="s">
        <v>117</v>
      </c>
    </row>
    <row r="328" spans="1:20" x14ac:dyDescent="0.35">
      <c r="A328" t="s">
        <v>914</v>
      </c>
      <c r="B328" t="s">
        <v>915</v>
      </c>
      <c r="C328" t="s">
        <v>281</v>
      </c>
      <c r="D328" t="s">
        <v>786</v>
      </c>
      <c r="E328" t="s">
        <v>37</v>
      </c>
      <c r="F328">
        <v>22</v>
      </c>
      <c r="G328" t="s">
        <v>24</v>
      </c>
      <c r="H328" t="s">
        <v>25</v>
      </c>
      <c r="I328" t="s">
        <v>26</v>
      </c>
      <c r="J328" t="s">
        <v>89</v>
      </c>
      <c r="K328" t="s">
        <v>90</v>
      </c>
      <c r="L328" t="s">
        <v>91</v>
      </c>
      <c r="M328">
        <v>1</v>
      </c>
      <c r="N328">
        <v>9000</v>
      </c>
      <c r="O328">
        <v>10</v>
      </c>
      <c r="P328">
        <v>8100</v>
      </c>
      <c r="Q328">
        <v>1749.18</v>
      </c>
      <c r="R328" t="s">
        <v>59</v>
      </c>
      <c r="S328" t="s">
        <v>51</v>
      </c>
      <c r="T328" t="s">
        <v>65</v>
      </c>
    </row>
    <row r="329" spans="1:20" x14ac:dyDescent="0.35">
      <c r="A329" t="s">
        <v>916</v>
      </c>
      <c r="B329" t="s">
        <v>917</v>
      </c>
      <c r="C329" t="s">
        <v>494</v>
      </c>
      <c r="D329" t="s">
        <v>918</v>
      </c>
      <c r="E329" t="s">
        <v>23</v>
      </c>
      <c r="F329">
        <v>23</v>
      </c>
      <c r="G329" t="s">
        <v>46</v>
      </c>
      <c r="H329" t="s">
        <v>25</v>
      </c>
      <c r="I329" t="s">
        <v>26</v>
      </c>
      <c r="J329" t="s">
        <v>47</v>
      </c>
      <c r="K329" t="s">
        <v>48</v>
      </c>
      <c r="L329" t="s">
        <v>215</v>
      </c>
      <c r="M329">
        <v>5</v>
      </c>
      <c r="N329">
        <v>450</v>
      </c>
      <c r="O329">
        <v>0</v>
      </c>
      <c r="P329">
        <v>2250</v>
      </c>
      <c r="Q329">
        <v>607.14</v>
      </c>
      <c r="R329" t="s">
        <v>30</v>
      </c>
      <c r="S329" t="s">
        <v>31</v>
      </c>
      <c r="T329" t="s">
        <v>32</v>
      </c>
    </row>
    <row r="330" spans="1:20" x14ac:dyDescent="0.35">
      <c r="A330" t="s">
        <v>919</v>
      </c>
      <c r="B330" t="s">
        <v>920</v>
      </c>
      <c r="C330" t="s">
        <v>446</v>
      </c>
      <c r="D330" t="s">
        <v>921</v>
      </c>
      <c r="E330" t="s">
        <v>23</v>
      </c>
      <c r="F330">
        <v>26</v>
      </c>
      <c r="G330" t="s">
        <v>86</v>
      </c>
      <c r="H330" t="s">
        <v>87</v>
      </c>
      <c r="I330" t="s">
        <v>88</v>
      </c>
      <c r="J330" t="s">
        <v>89</v>
      </c>
      <c r="K330" t="s">
        <v>90</v>
      </c>
      <c r="L330" t="s">
        <v>128</v>
      </c>
      <c r="M330">
        <v>5</v>
      </c>
      <c r="N330">
        <v>7000</v>
      </c>
      <c r="O330">
        <v>0</v>
      </c>
      <c r="P330">
        <v>35000</v>
      </c>
      <c r="Q330">
        <v>8628.2800000000007</v>
      </c>
      <c r="R330" t="s">
        <v>30</v>
      </c>
      <c r="S330" t="s">
        <v>51</v>
      </c>
      <c r="T330" t="s">
        <v>117</v>
      </c>
    </row>
    <row r="331" spans="1:20" x14ac:dyDescent="0.35">
      <c r="A331" t="s">
        <v>922</v>
      </c>
      <c r="B331" t="s">
        <v>923</v>
      </c>
      <c r="C331" t="s">
        <v>131</v>
      </c>
      <c r="D331" t="s">
        <v>569</v>
      </c>
      <c r="E331" t="s">
        <v>37</v>
      </c>
      <c r="F331">
        <v>37</v>
      </c>
      <c r="G331" t="s">
        <v>86</v>
      </c>
      <c r="H331" t="s">
        <v>87</v>
      </c>
      <c r="I331" t="s">
        <v>88</v>
      </c>
      <c r="J331" t="s">
        <v>47</v>
      </c>
      <c r="K331" t="s">
        <v>48</v>
      </c>
      <c r="L331" t="s">
        <v>215</v>
      </c>
      <c r="M331">
        <v>1</v>
      </c>
      <c r="N331">
        <v>450</v>
      </c>
      <c r="O331">
        <v>15</v>
      </c>
      <c r="P331">
        <v>382.5</v>
      </c>
      <c r="Q331">
        <v>63.15</v>
      </c>
      <c r="R331" t="s">
        <v>30</v>
      </c>
      <c r="S331" t="s">
        <v>51</v>
      </c>
      <c r="T331" t="s">
        <v>93</v>
      </c>
    </row>
    <row r="332" spans="1:20" x14ac:dyDescent="0.35">
      <c r="A332" t="s">
        <v>924</v>
      </c>
      <c r="B332" t="s">
        <v>399</v>
      </c>
      <c r="C332" t="s">
        <v>408</v>
      </c>
      <c r="D332" t="s">
        <v>77</v>
      </c>
      <c r="E332" t="s">
        <v>23</v>
      </c>
      <c r="F332">
        <v>57</v>
      </c>
      <c r="G332" t="s">
        <v>86</v>
      </c>
      <c r="H332" t="s">
        <v>87</v>
      </c>
      <c r="I332" t="s">
        <v>88</v>
      </c>
      <c r="J332" t="s">
        <v>89</v>
      </c>
      <c r="K332" t="s">
        <v>90</v>
      </c>
      <c r="L332" t="s">
        <v>242</v>
      </c>
      <c r="M332">
        <v>2</v>
      </c>
      <c r="N332">
        <v>6000</v>
      </c>
      <c r="O332">
        <v>5</v>
      </c>
      <c r="P332">
        <v>11400</v>
      </c>
      <c r="Q332">
        <v>1174.54</v>
      </c>
      <c r="R332" t="s">
        <v>59</v>
      </c>
      <c r="S332" t="s">
        <v>92</v>
      </c>
      <c r="T332" t="s">
        <v>65</v>
      </c>
    </row>
    <row r="333" spans="1:20" x14ac:dyDescent="0.35">
      <c r="A333" t="s">
        <v>925</v>
      </c>
      <c r="B333" t="s">
        <v>926</v>
      </c>
      <c r="C333" t="s">
        <v>594</v>
      </c>
      <c r="D333" t="s">
        <v>543</v>
      </c>
      <c r="E333" t="s">
        <v>37</v>
      </c>
      <c r="F333">
        <v>53</v>
      </c>
      <c r="G333" t="s">
        <v>86</v>
      </c>
      <c r="H333" t="s">
        <v>87</v>
      </c>
      <c r="I333" t="s">
        <v>88</v>
      </c>
      <c r="J333" t="s">
        <v>47</v>
      </c>
      <c r="K333" t="s">
        <v>48</v>
      </c>
      <c r="L333" t="s">
        <v>116</v>
      </c>
      <c r="M333">
        <v>3</v>
      </c>
      <c r="N333">
        <v>120</v>
      </c>
      <c r="O333">
        <v>0</v>
      </c>
      <c r="P333">
        <v>360</v>
      </c>
      <c r="Q333">
        <v>81.430000000000007</v>
      </c>
      <c r="R333" t="s">
        <v>30</v>
      </c>
      <c r="S333" t="s">
        <v>51</v>
      </c>
      <c r="T333" t="s">
        <v>117</v>
      </c>
    </row>
    <row r="334" spans="1:20" x14ac:dyDescent="0.35">
      <c r="A334" t="s">
        <v>927</v>
      </c>
      <c r="B334" t="s">
        <v>928</v>
      </c>
      <c r="C334" t="s">
        <v>320</v>
      </c>
      <c r="D334" t="s">
        <v>238</v>
      </c>
      <c r="E334" t="s">
        <v>37</v>
      </c>
      <c r="F334">
        <v>34</v>
      </c>
      <c r="G334" t="s">
        <v>57</v>
      </c>
      <c r="H334" t="s">
        <v>57</v>
      </c>
      <c r="I334" t="s">
        <v>58</v>
      </c>
      <c r="J334" t="s">
        <v>89</v>
      </c>
      <c r="K334" t="s">
        <v>90</v>
      </c>
      <c r="L334" t="s">
        <v>242</v>
      </c>
      <c r="M334">
        <v>5</v>
      </c>
      <c r="N334">
        <v>6000</v>
      </c>
      <c r="O334">
        <v>10</v>
      </c>
      <c r="P334">
        <v>27000</v>
      </c>
      <c r="Q334">
        <v>4971.49</v>
      </c>
      <c r="R334" t="s">
        <v>41</v>
      </c>
      <c r="S334" t="s">
        <v>92</v>
      </c>
      <c r="T334" t="s">
        <v>60</v>
      </c>
    </row>
    <row r="335" spans="1:20" x14ac:dyDescent="0.35">
      <c r="A335" t="s">
        <v>929</v>
      </c>
      <c r="B335" t="s">
        <v>772</v>
      </c>
      <c r="C335" t="s">
        <v>930</v>
      </c>
      <c r="D335" t="s">
        <v>313</v>
      </c>
      <c r="E335" t="s">
        <v>23</v>
      </c>
      <c r="F335">
        <v>42</v>
      </c>
      <c r="G335" t="s">
        <v>126</v>
      </c>
      <c r="H335" t="s">
        <v>127</v>
      </c>
      <c r="I335" t="s">
        <v>88</v>
      </c>
      <c r="J335" t="s">
        <v>27</v>
      </c>
      <c r="K335" t="s">
        <v>28</v>
      </c>
      <c r="L335" t="s">
        <v>29</v>
      </c>
      <c r="M335">
        <v>1</v>
      </c>
      <c r="N335">
        <v>12000</v>
      </c>
      <c r="O335">
        <v>5</v>
      </c>
      <c r="P335">
        <v>11400</v>
      </c>
      <c r="Q335">
        <v>1363.77</v>
      </c>
      <c r="R335" t="s">
        <v>41</v>
      </c>
      <c r="S335" t="s">
        <v>92</v>
      </c>
      <c r="T335" t="s">
        <v>117</v>
      </c>
    </row>
    <row r="336" spans="1:20" x14ac:dyDescent="0.35">
      <c r="A336" t="s">
        <v>931</v>
      </c>
      <c r="B336" t="s">
        <v>932</v>
      </c>
      <c r="C336" t="s">
        <v>758</v>
      </c>
      <c r="D336" t="s">
        <v>817</v>
      </c>
      <c r="E336" t="s">
        <v>23</v>
      </c>
      <c r="F336">
        <v>20</v>
      </c>
      <c r="G336" t="s">
        <v>126</v>
      </c>
      <c r="H336" t="s">
        <v>127</v>
      </c>
      <c r="I336" t="s">
        <v>88</v>
      </c>
      <c r="J336" t="s">
        <v>27</v>
      </c>
      <c r="K336" t="s">
        <v>28</v>
      </c>
      <c r="L336" t="s">
        <v>140</v>
      </c>
      <c r="M336">
        <v>5</v>
      </c>
      <c r="N336">
        <v>65000</v>
      </c>
      <c r="O336">
        <v>5</v>
      </c>
      <c r="P336">
        <v>308750</v>
      </c>
      <c r="Q336">
        <v>76269.86</v>
      </c>
      <c r="R336" t="s">
        <v>81</v>
      </c>
      <c r="S336" t="s">
        <v>31</v>
      </c>
      <c r="T336" t="s">
        <v>65</v>
      </c>
    </row>
    <row r="337" spans="1:20" x14ac:dyDescent="0.35">
      <c r="A337" t="s">
        <v>933</v>
      </c>
      <c r="B337" t="s">
        <v>934</v>
      </c>
      <c r="C337" t="s">
        <v>178</v>
      </c>
      <c r="D337" t="s">
        <v>437</v>
      </c>
      <c r="E337" t="s">
        <v>37</v>
      </c>
      <c r="F337">
        <v>30</v>
      </c>
      <c r="G337" t="s">
        <v>38</v>
      </c>
      <c r="H337" t="s">
        <v>39</v>
      </c>
      <c r="I337" t="s">
        <v>26</v>
      </c>
      <c r="J337" t="s">
        <v>27</v>
      </c>
      <c r="K337" t="s">
        <v>28</v>
      </c>
      <c r="L337" t="s">
        <v>29</v>
      </c>
      <c r="M337">
        <v>1</v>
      </c>
      <c r="N337">
        <v>12000</v>
      </c>
      <c r="O337">
        <v>5</v>
      </c>
      <c r="P337">
        <v>11400</v>
      </c>
      <c r="Q337">
        <v>969.42</v>
      </c>
      <c r="R337" t="s">
        <v>50</v>
      </c>
      <c r="S337" t="s">
        <v>51</v>
      </c>
      <c r="T337" t="s">
        <v>60</v>
      </c>
    </row>
    <row r="338" spans="1:20" x14ac:dyDescent="0.35">
      <c r="A338" t="s">
        <v>935</v>
      </c>
      <c r="B338" t="s">
        <v>936</v>
      </c>
      <c r="C338" t="s">
        <v>178</v>
      </c>
      <c r="D338" t="s">
        <v>633</v>
      </c>
      <c r="E338" t="s">
        <v>37</v>
      </c>
      <c r="F338">
        <v>50</v>
      </c>
      <c r="G338" t="s">
        <v>126</v>
      </c>
      <c r="H338" t="s">
        <v>127</v>
      </c>
      <c r="I338" t="s">
        <v>88</v>
      </c>
      <c r="J338" t="s">
        <v>78</v>
      </c>
      <c r="K338" t="s">
        <v>79</v>
      </c>
      <c r="L338" t="s">
        <v>80</v>
      </c>
      <c r="M338">
        <v>3</v>
      </c>
      <c r="N338">
        <v>1800</v>
      </c>
      <c r="O338">
        <v>15</v>
      </c>
      <c r="P338">
        <v>4590</v>
      </c>
      <c r="Q338">
        <v>857.53</v>
      </c>
      <c r="R338" t="s">
        <v>81</v>
      </c>
      <c r="S338" t="s">
        <v>51</v>
      </c>
      <c r="T338" t="s">
        <v>117</v>
      </c>
    </row>
    <row r="339" spans="1:20" x14ac:dyDescent="0.35">
      <c r="A339" t="s">
        <v>937</v>
      </c>
      <c r="B339" t="s">
        <v>938</v>
      </c>
      <c r="C339" t="s">
        <v>316</v>
      </c>
      <c r="D339" t="s">
        <v>36</v>
      </c>
      <c r="E339" t="s">
        <v>37</v>
      </c>
      <c r="F339">
        <v>20</v>
      </c>
      <c r="G339" t="s">
        <v>126</v>
      </c>
      <c r="H339" t="s">
        <v>127</v>
      </c>
      <c r="I339" t="s">
        <v>88</v>
      </c>
      <c r="J339" t="s">
        <v>47</v>
      </c>
      <c r="K339" t="s">
        <v>48</v>
      </c>
      <c r="L339" t="s">
        <v>215</v>
      </c>
      <c r="M339">
        <v>1</v>
      </c>
      <c r="N339">
        <v>450</v>
      </c>
      <c r="O339">
        <v>0</v>
      </c>
      <c r="P339">
        <v>450</v>
      </c>
      <c r="Q339">
        <v>76.11</v>
      </c>
      <c r="R339" t="s">
        <v>41</v>
      </c>
      <c r="S339" t="s">
        <v>51</v>
      </c>
      <c r="T339" t="s">
        <v>32</v>
      </c>
    </row>
    <row r="340" spans="1:20" x14ac:dyDescent="0.35">
      <c r="A340" t="s">
        <v>939</v>
      </c>
      <c r="B340" t="s">
        <v>940</v>
      </c>
      <c r="C340" t="s">
        <v>196</v>
      </c>
      <c r="D340" t="s">
        <v>670</v>
      </c>
      <c r="E340" t="s">
        <v>23</v>
      </c>
      <c r="F340">
        <v>50</v>
      </c>
      <c r="G340" t="s">
        <v>98</v>
      </c>
      <c r="H340" t="s">
        <v>99</v>
      </c>
      <c r="I340" t="s">
        <v>100</v>
      </c>
      <c r="J340" t="s">
        <v>47</v>
      </c>
      <c r="K340" t="s">
        <v>48</v>
      </c>
      <c r="L340" t="s">
        <v>215</v>
      </c>
      <c r="M340">
        <v>1</v>
      </c>
      <c r="N340">
        <v>450</v>
      </c>
      <c r="O340">
        <v>20</v>
      </c>
      <c r="P340">
        <v>360</v>
      </c>
      <c r="Q340">
        <v>83.06</v>
      </c>
      <c r="R340" t="s">
        <v>59</v>
      </c>
      <c r="S340" t="s">
        <v>92</v>
      </c>
      <c r="T340" t="s">
        <v>93</v>
      </c>
    </row>
    <row r="341" spans="1:20" x14ac:dyDescent="0.35">
      <c r="A341" t="s">
        <v>941</v>
      </c>
      <c r="B341" t="s">
        <v>83</v>
      </c>
      <c r="C341" t="s">
        <v>139</v>
      </c>
      <c r="D341" t="s">
        <v>942</v>
      </c>
      <c r="E341" t="s">
        <v>23</v>
      </c>
      <c r="F341">
        <v>33</v>
      </c>
      <c r="G341" t="s">
        <v>24</v>
      </c>
      <c r="H341" t="s">
        <v>25</v>
      </c>
      <c r="I341" t="s">
        <v>26</v>
      </c>
      <c r="J341" t="s">
        <v>47</v>
      </c>
      <c r="K341" t="s">
        <v>48</v>
      </c>
      <c r="L341" t="s">
        <v>116</v>
      </c>
      <c r="M341">
        <v>3</v>
      </c>
      <c r="N341">
        <v>120</v>
      </c>
      <c r="O341">
        <v>0</v>
      </c>
      <c r="P341">
        <v>360</v>
      </c>
      <c r="Q341">
        <v>71.53</v>
      </c>
      <c r="R341" t="s">
        <v>81</v>
      </c>
      <c r="S341" t="s">
        <v>51</v>
      </c>
      <c r="T341" t="s">
        <v>117</v>
      </c>
    </row>
    <row r="342" spans="1:20" x14ac:dyDescent="0.35">
      <c r="A342" t="s">
        <v>943</v>
      </c>
      <c r="B342" t="s">
        <v>944</v>
      </c>
      <c r="C342" t="s">
        <v>522</v>
      </c>
      <c r="D342" t="s">
        <v>679</v>
      </c>
      <c r="E342" t="s">
        <v>23</v>
      </c>
      <c r="F342">
        <v>39</v>
      </c>
      <c r="G342" t="s">
        <v>126</v>
      </c>
      <c r="H342" t="s">
        <v>127</v>
      </c>
      <c r="I342" t="s">
        <v>88</v>
      </c>
      <c r="J342" t="s">
        <v>47</v>
      </c>
      <c r="K342" t="s">
        <v>48</v>
      </c>
      <c r="L342" t="s">
        <v>215</v>
      </c>
      <c r="M342">
        <v>4</v>
      </c>
      <c r="N342">
        <v>450</v>
      </c>
      <c r="O342">
        <v>0</v>
      </c>
      <c r="P342">
        <v>1800</v>
      </c>
      <c r="Q342">
        <v>442.82</v>
      </c>
      <c r="R342" t="s">
        <v>30</v>
      </c>
      <c r="S342" t="s">
        <v>92</v>
      </c>
      <c r="T342" t="s">
        <v>117</v>
      </c>
    </row>
    <row r="343" spans="1:20" x14ac:dyDescent="0.35">
      <c r="A343" t="s">
        <v>945</v>
      </c>
      <c r="B343" t="s">
        <v>630</v>
      </c>
      <c r="C343" t="s">
        <v>392</v>
      </c>
      <c r="D343" t="s">
        <v>160</v>
      </c>
      <c r="E343" t="s">
        <v>23</v>
      </c>
      <c r="F343">
        <v>38</v>
      </c>
      <c r="G343" t="s">
        <v>126</v>
      </c>
      <c r="H343" t="s">
        <v>127</v>
      </c>
      <c r="I343" t="s">
        <v>88</v>
      </c>
      <c r="J343" t="s">
        <v>78</v>
      </c>
      <c r="K343" t="s">
        <v>79</v>
      </c>
      <c r="L343" t="s">
        <v>80</v>
      </c>
      <c r="M343">
        <v>3</v>
      </c>
      <c r="N343">
        <v>1800</v>
      </c>
      <c r="O343">
        <v>20</v>
      </c>
      <c r="P343">
        <v>4320</v>
      </c>
      <c r="Q343">
        <v>592.97</v>
      </c>
      <c r="R343" t="s">
        <v>50</v>
      </c>
      <c r="S343" t="s">
        <v>31</v>
      </c>
      <c r="T343" t="s">
        <v>52</v>
      </c>
    </row>
    <row r="344" spans="1:20" x14ac:dyDescent="0.35">
      <c r="A344" t="s">
        <v>946</v>
      </c>
      <c r="B344" t="s">
        <v>947</v>
      </c>
      <c r="C344" t="s">
        <v>343</v>
      </c>
      <c r="D344" t="s">
        <v>883</v>
      </c>
      <c r="E344" t="s">
        <v>37</v>
      </c>
      <c r="F344">
        <v>49</v>
      </c>
      <c r="G344" t="s">
        <v>24</v>
      </c>
      <c r="H344" t="s">
        <v>25</v>
      </c>
      <c r="I344" t="s">
        <v>26</v>
      </c>
      <c r="J344" t="s">
        <v>78</v>
      </c>
      <c r="K344" t="s">
        <v>79</v>
      </c>
      <c r="L344" t="s">
        <v>101</v>
      </c>
      <c r="M344">
        <v>2</v>
      </c>
      <c r="N344">
        <v>3500</v>
      </c>
      <c r="O344">
        <v>5</v>
      </c>
      <c r="P344">
        <v>6650</v>
      </c>
      <c r="Q344">
        <v>1752.12</v>
      </c>
      <c r="R344" t="s">
        <v>30</v>
      </c>
      <c r="S344" t="s">
        <v>92</v>
      </c>
      <c r="T344" t="s">
        <v>60</v>
      </c>
    </row>
    <row r="345" spans="1:20" x14ac:dyDescent="0.35">
      <c r="A345" t="s">
        <v>948</v>
      </c>
      <c r="B345" t="s">
        <v>360</v>
      </c>
      <c r="C345" t="s">
        <v>542</v>
      </c>
      <c r="D345" t="s">
        <v>105</v>
      </c>
      <c r="E345" t="s">
        <v>37</v>
      </c>
      <c r="F345">
        <v>33</v>
      </c>
      <c r="G345" t="s">
        <v>126</v>
      </c>
      <c r="H345" t="s">
        <v>127</v>
      </c>
      <c r="I345" t="s">
        <v>88</v>
      </c>
      <c r="J345" t="s">
        <v>89</v>
      </c>
      <c r="K345" t="s">
        <v>90</v>
      </c>
      <c r="L345" t="s">
        <v>91</v>
      </c>
      <c r="M345">
        <v>3</v>
      </c>
      <c r="N345">
        <v>9000</v>
      </c>
      <c r="O345">
        <v>0</v>
      </c>
      <c r="P345">
        <v>27000</v>
      </c>
      <c r="Q345">
        <v>4392.0600000000004</v>
      </c>
      <c r="R345" t="s">
        <v>30</v>
      </c>
      <c r="S345" t="s">
        <v>51</v>
      </c>
      <c r="T345" t="s">
        <v>32</v>
      </c>
    </row>
    <row r="346" spans="1:20" x14ac:dyDescent="0.35">
      <c r="A346" t="s">
        <v>949</v>
      </c>
      <c r="B346" t="s">
        <v>277</v>
      </c>
      <c r="C346" t="s">
        <v>256</v>
      </c>
      <c r="D346" t="s">
        <v>109</v>
      </c>
      <c r="E346" t="s">
        <v>37</v>
      </c>
      <c r="F346">
        <v>25</v>
      </c>
      <c r="G346" t="s">
        <v>86</v>
      </c>
      <c r="H346" t="s">
        <v>87</v>
      </c>
      <c r="I346" t="s">
        <v>88</v>
      </c>
      <c r="J346" t="s">
        <v>27</v>
      </c>
      <c r="K346" t="s">
        <v>28</v>
      </c>
      <c r="L346" t="s">
        <v>140</v>
      </c>
      <c r="M346">
        <v>4</v>
      </c>
      <c r="N346">
        <v>65000</v>
      </c>
      <c r="O346">
        <v>5</v>
      </c>
      <c r="P346">
        <v>247000</v>
      </c>
      <c r="Q346">
        <v>32471.75</v>
      </c>
      <c r="R346" t="s">
        <v>81</v>
      </c>
      <c r="S346" t="s">
        <v>51</v>
      </c>
      <c r="T346" t="s">
        <v>32</v>
      </c>
    </row>
    <row r="347" spans="1:20" x14ac:dyDescent="0.35">
      <c r="A347" t="s">
        <v>950</v>
      </c>
      <c r="B347" t="s">
        <v>491</v>
      </c>
      <c r="C347" t="s">
        <v>530</v>
      </c>
      <c r="D347" t="s">
        <v>305</v>
      </c>
      <c r="E347" t="s">
        <v>37</v>
      </c>
      <c r="F347">
        <v>41</v>
      </c>
      <c r="G347" t="s">
        <v>98</v>
      </c>
      <c r="H347" t="s">
        <v>99</v>
      </c>
      <c r="I347" t="s">
        <v>100</v>
      </c>
      <c r="J347" t="s">
        <v>47</v>
      </c>
      <c r="K347" t="s">
        <v>48</v>
      </c>
      <c r="L347" t="s">
        <v>49</v>
      </c>
      <c r="M347">
        <v>4</v>
      </c>
      <c r="N347">
        <v>150</v>
      </c>
      <c r="O347">
        <v>10</v>
      </c>
      <c r="P347">
        <v>540</v>
      </c>
      <c r="Q347">
        <v>119.9</v>
      </c>
      <c r="R347" t="s">
        <v>30</v>
      </c>
      <c r="S347" t="s">
        <v>51</v>
      </c>
      <c r="T347" t="s">
        <v>60</v>
      </c>
    </row>
    <row r="348" spans="1:20" x14ac:dyDescent="0.35">
      <c r="A348" t="s">
        <v>951</v>
      </c>
      <c r="B348" t="s">
        <v>952</v>
      </c>
      <c r="C348" t="s">
        <v>196</v>
      </c>
      <c r="D348" t="s">
        <v>234</v>
      </c>
      <c r="E348" t="s">
        <v>23</v>
      </c>
      <c r="F348">
        <v>50</v>
      </c>
      <c r="G348" t="s">
        <v>38</v>
      </c>
      <c r="H348" t="s">
        <v>39</v>
      </c>
      <c r="I348" t="s">
        <v>26</v>
      </c>
      <c r="J348" t="s">
        <v>89</v>
      </c>
      <c r="K348" t="s">
        <v>90</v>
      </c>
      <c r="L348" t="s">
        <v>242</v>
      </c>
      <c r="M348">
        <v>3</v>
      </c>
      <c r="N348">
        <v>6000</v>
      </c>
      <c r="O348">
        <v>20</v>
      </c>
      <c r="P348">
        <v>14400</v>
      </c>
      <c r="Q348">
        <v>3201.66</v>
      </c>
      <c r="R348" t="s">
        <v>81</v>
      </c>
      <c r="S348" t="s">
        <v>51</v>
      </c>
      <c r="T348" t="s">
        <v>117</v>
      </c>
    </row>
    <row r="349" spans="1:20" x14ac:dyDescent="0.35">
      <c r="A349" t="s">
        <v>953</v>
      </c>
      <c r="B349" t="s">
        <v>954</v>
      </c>
      <c r="C349" t="s">
        <v>120</v>
      </c>
      <c r="D349" t="s">
        <v>155</v>
      </c>
      <c r="E349" t="s">
        <v>37</v>
      </c>
      <c r="F349">
        <v>33</v>
      </c>
      <c r="G349" t="s">
        <v>24</v>
      </c>
      <c r="H349" t="s">
        <v>25</v>
      </c>
      <c r="I349" t="s">
        <v>26</v>
      </c>
      <c r="J349" t="s">
        <v>78</v>
      </c>
      <c r="K349" t="s">
        <v>79</v>
      </c>
      <c r="L349" t="s">
        <v>156</v>
      </c>
      <c r="M349">
        <v>2</v>
      </c>
      <c r="N349">
        <v>800</v>
      </c>
      <c r="O349">
        <v>5</v>
      </c>
      <c r="P349">
        <v>1520</v>
      </c>
      <c r="Q349">
        <v>369.84</v>
      </c>
      <c r="R349" t="s">
        <v>50</v>
      </c>
      <c r="S349" t="s">
        <v>51</v>
      </c>
      <c r="T349" t="s">
        <v>93</v>
      </c>
    </row>
    <row r="350" spans="1:20" x14ac:dyDescent="0.35">
      <c r="A350" t="s">
        <v>955</v>
      </c>
      <c r="B350" t="s">
        <v>350</v>
      </c>
      <c r="C350" t="s">
        <v>104</v>
      </c>
      <c r="D350" t="s">
        <v>523</v>
      </c>
      <c r="E350" t="s">
        <v>37</v>
      </c>
      <c r="F350">
        <v>58</v>
      </c>
      <c r="G350" t="s">
        <v>24</v>
      </c>
      <c r="H350" t="s">
        <v>25</v>
      </c>
      <c r="I350" t="s">
        <v>26</v>
      </c>
      <c r="J350" t="s">
        <v>27</v>
      </c>
      <c r="K350" t="s">
        <v>28</v>
      </c>
      <c r="L350" t="s">
        <v>73</v>
      </c>
      <c r="M350">
        <v>1</v>
      </c>
      <c r="N350">
        <v>25000</v>
      </c>
      <c r="O350">
        <v>15</v>
      </c>
      <c r="P350">
        <v>21250</v>
      </c>
      <c r="Q350">
        <v>1758.18</v>
      </c>
      <c r="R350" t="s">
        <v>81</v>
      </c>
      <c r="S350" t="s">
        <v>51</v>
      </c>
      <c r="T350" t="s">
        <v>32</v>
      </c>
    </row>
    <row r="351" spans="1:20" x14ac:dyDescent="0.35">
      <c r="A351" t="s">
        <v>956</v>
      </c>
      <c r="B351" t="s">
        <v>649</v>
      </c>
      <c r="C351" t="s">
        <v>471</v>
      </c>
      <c r="D351" t="s">
        <v>298</v>
      </c>
      <c r="E351" t="s">
        <v>23</v>
      </c>
      <c r="F351">
        <v>43</v>
      </c>
      <c r="G351" t="s">
        <v>114</v>
      </c>
      <c r="H351" t="s">
        <v>115</v>
      </c>
      <c r="I351" t="s">
        <v>88</v>
      </c>
      <c r="J351" t="s">
        <v>47</v>
      </c>
      <c r="K351" t="s">
        <v>48</v>
      </c>
      <c r="L351" t="s">
        <v>116</v>
      </c>
      <c r="M351">
        <v>5</v>
      </c>
      <c r="N351">
        <v>120</v>
      </c>
      <c r="O351">
        <v>0</v>
      </c>
      <c r="P351">
        <v>600</v>
      </c>
      <c r="Q351">
        <v>97.91</v>
      </c>
      <c r="R351" t="s">
        <v>50</v>
      </c>
      <c r="S351" t="s">
        <v>51</v>
      </c>
      <c r="T351" t="s">
        <v>65</v>
      </c>
    </row>
    <row r="352" spans="1:20" x14ac:dyDescent="0.35">
      <c r="A352" t="s">
        <v>957</v>
      </c>
      <c r="B352" t="s">
        <v>619</v>
      </c>
      <c r="C352" t="s">
        <v>958</v>
      </c>
      <c r="D352" t="s">
        <v>577</v>
      </c>
      <c r="E352" t="s">
        <v>37</v>
      </c>
      <c r="F352">
        <v>54</v>
      </c>
      <c r="G352" t="s">
        <v>126</v>
      </c>
      <c r="H352" t="s">
        <v>127</v>
      </c>
      <c r="I352" t="s">
        <v>88</v>
      </c>
      <c r="J352" t="s">
        <v>78</v>
      </c>
      <c r="K352" t="s">
        <v>79</v>
      </c>
      <c r="L352" t="s">
        <v>156</v>
      </c>
      <c r="M352">
        <v>5</v>
      </c>
      <c r="N352">
        <v>800</v>
      </c>
      <c r="O352">
        <v>15</v>
      </c>
      <c r="P352">
        <v>3400</v>
      </c>
      <c r="Q352">
        <v>879.96</v>
      </c>
      <c r="R352" t="s">
        <v>50</v>
      </c>
      <c r="S352" t="s">
        <v>51</v>
      </c>
      <c r="T352" t="s">
        <v>117</v>
      </c>
    </row>
    <row r="353" spans="1:20" x14ac:dyDescent="0.35">
      <c r="A353" t="s">
        <v>959</v>
      </c>
      <c r="B353" t="s">
        <v>504</v>
      </c>
      <c r="C353" t="s">
        <v>471</v>
      </c>
      <c r="D353" t="s">
        <v>85</v>
      </c>
      <c r="E353" t="s">
        <v>37</v>
      </c>
      <c r="F353">
        <v>39</v>
      </c>
      <c r="G353" t="s">
        <v>57</v>
      </c>
      <c r="H353" t="s">
        <v>57</v>
      </c>
      <c r="I353" t="s">
        <v>58</v>
      </c>
      <c r="J353" t="s">
        <v>47</v>
      </c>
      <c r="K353" t="s">
        <v>48</v>
      </c>
      <c r="L353" t="s">
        <v>215</v>
      </c>
      <c r="M353">
        <v>5</v>
      </c>
      <c r="N353">
        <v>450</v>
      </c>
      <c r="O353">
        <v>10</v>
      </c>
      <c r="P353">
        <v>2025</v>
      </c>
      <c r="Q353">
        <v>262.97000000000003</v>
      </c>
      <c r="R353" t="s">
        <v>41</v>
      </c>
      <c r="S353" t="s">
        <v>31</v>
      </c>
      <c r="T353" t="s">
        <v>65</v>
      </c>
    </row>
    <row r="354" spans="1:20" x14ac:dyDescent="0.35">
      <c r="A354" t="s">
        <v>960</v>
      </c>
      <c r="B354" t="s">
        <v>961</v>
      </c>
      <c r="C354" t="s">
        <v>673</v>
      </c>
      <c r="D354" t="s">
        <v>344</v>
      </c>
      <c r="E354" t="s">
        <v>23</v>
      </c>
      <c r="F354">
        <v>20</v>
      </c>
      <c r="G354" t="s">
        <v>46</v>
      </c>
      <c r="H354" t="s">
        <v>25</v>
      </c>
      <c r="I354" t="s">
        <v>26</v>
      </c>
      <c r="J354" t="s">
        <v>47</v>
      </c>
      <c r="K354" t="s">
        <v>48</v>
      </c>
      <c r="L354" t="s">
        <v>116</v>
      </c>
      <c r="M354">
        <v>1</v>
      </c>
      <c r="N354">
        <v>120</v>
      </c>
      <c r="O354">
        <v>15</v>
      </c>
      <c r="P354">
        <v>102</v>
      </c>
      <c r="Q354">
        <v>12.7</v>
      </c>
      <c r="R354" t="s">
        <v>81</v>
      </c>
      <c r="S354" t="s">
        <v>92</v>
      </c>
      <c r="T354" t="s">
        <v>117</v>
      </c>
    </row>
    <row r="355" spans="1:20" x14ac:dyDescent="0.35">
      <c r="A355" t="s">
        <v>962</v>
      </c>
      <c r="B355" t="s">
        <v>501</v>
      </c>
      <c r="C355" t="s">
        <v>124</v>
      </c>
      <c r="D355" t="s">
        <v>613</v>
      </c>
      <c r="E355" t="s">
        <v>23</v>
      </c>
      <c r="F355">
        <v>55</v>
      </c>
      <c r="G355" t="s">
        <v>38</v>
      </c>
      <c r="H355" t="s">
        <v>39</v>
      </c>
      <c r="I355" t="s">
        <v>26</v>
      </c>
      <c r="J355" t="s">
        <v>78</v>
      </c>
      <c r="K355" t="s">
        <v>79</v>
      </c>
      <c r="L355" t="s">
        <v>80</v>
      </c>
      <c r="M355">
        <v>3</v>
      </c>
      <c r="N355">
        <v>1800</v>
      </c>
      <c r="O355">
        <v>10</v>
      </c>
      <c r="P355">
        <v>4860</v>
      </c>
      <c r="Q355">
        <v>1212</v>
      </c>
      <c r="R355" t="s">
        <v>50</v>
      </c>
      <c r="S355" t="s">
        <v>51</v>
      </c>
      <c r="T355" t="s">
        <v>32</v>
      </c>
    </row>
    <row r="356" spans="1:20" x14ac:dyDescent="0.35">
      <c r="A356" t="s">
        <v>963</v>
      </c>
      <c r="B356" t="s">
        <v>964</v>
      </c>
      <c r="C356" t="s">
        <v>281</v>
      </c>
      <c r="D356" t="s">
        <v>965</v>
      </c>
      <c r="E356" t="s">
        <v>23</v>
      </c>
      <c r="F356">
        <v>25</v>
      </c>
      <c r="G356" t="s">
        <v>57</v>
      </c>
      <c r="H356" t="s">
        <v>57</v>
      </c>
      <c r="I356" t="s">
        <v>58</v>
      </c>
      <c r="J356" t="s">
        <v>27</v>
      </c>
      <c r="K356" t="s">
        <v>28</v>
      </c>
      <c r="L356" t="s">
        <v>40</v>
      </c>
      <c r="M356">
        <v>3</v>
      </c>
      <c r="N356">
        <v>2500</v>
      </c>
      <c r="O356">
        <v>20</v>
      </c>
      <c r="P356">
        <v>6000</v>
      </c>
      <c r="Q356">
        <v>662.9</v>
      </c>
      <c r="R356" t="s">
        <v>30</v>
      </c>
      <c r="S356" t="s">
        <v>51</v>
      </c>
      <c r="T356" t="s">
        <v>93</v>
      </c>
    </row>
    <row r="357" spans="1:20" x14ac:dyDescent="0.35">
      <c r="A357" t="s">
        <v>966</v>
      </c>
      <c r="B357" t="s">
        <v>967</v>
      </c>
      <c r="C357" t="s">
        <v>351</v>
      </c>
      <c r="D357" t="s">
        <v>663</v>
      </c>
      <c r="E357" t="s">
        <v>37</v>
      </c>
      <c r="F357">
        <v>47</v>
      </c>
      <c r="G357" t="s">
        <v>57</v>
      </c>
      <c r="H357" t="s">
        <v>57</v>
      </c>
      <c r="I357" t="s">
        <v>58</v>
      </c>
      <c r="J357" t="s">
        <v>78</v>
      </c>
      <c r="K357" t="s">
        <v>79</v>
      </c>
      <c r="L357" t="s">
        <v>156</v>
      </c>
      <c r="M357">
        <v>5</v>
      </c>
      <c r="N357">
        <v>800</v>
      </c>
      <c r="O357">
        <v>5</v>
      </c>
      <c r="P357">
        <v>3800</v>
      </c>
      <c r="Q357">
        <v>656.1</v>
      </c>
      <c r="R357" t="s">
        <v>81</v>
      </c>
      <c r="S357" t="s">
        <v>51</v>
      </c>
      <c r="T357" t="s">
        <v>65</v>
      </c>
    </row>
    <row r="358" spans="1:20" x14ac:dyDescent="0.35">
      <c r="A358" t="s">
        <v>968</v>
      </c>
      <c r="B358" t="s">
        <v>969</v>
      </c>
      <c r="C358" t="s">
        <v>429</v>
      </c>
      <c r="D358" t="s">
        <v>328</v>
      </c>
      <c r="E358" t="s">
        <v>23</v>
      </c>
      <c r="F358">
        <v>58</v>
      </c>
      <c r="G358" t="s">
        <v>57</v>
      </c>
      <c r="H358" t="s">
        <v>57</v>
      </c>
      <c r="I358" t="s">
        <v>58</v>
      </c>
      <c r="J358" t="s">
        <v>89</v>
      </c>
      <c r="K358" t="s">
        <v>90</v>
      </c>
      <c r="L358" t="s">
        <v>91</v>
      </c>
      <c r="M358">
        <v>5</v>
      </c>
      <c r="N358">
        <v>9000</v>
      </c>
      <c r="O358">
        <v>0</v>
      </c>
      <c r="P358">
        <v>45000</v>
      </c>
      <c r="Q358">
        <v>9820.17</v>
      </c>
      <c r="R358" t="s">
        <v>81</v>
      </c>
      <c r="S358" t="s">
        <v>51</v>
      </c>
      <c r="T358" t="s">
        <v>117</v>
      </c>
    </row>
    <row r="359" spans="1:20" x14ac:dyDescent="0.35">
      <c r="A359" t="s">
        <v>970</v>
      </c>
      <c r="B359" t="s">
        <v>971</v>
      </c>
      <c r="C359" t="s">
        <v>587</v>
      </c>
      <c r="D359" t="s">
        <v>972</v>
      </c>
      <c r="E359" t="s">
        <v>37</v>
      </c>
      <c r="F359">
        <v>53</v>
      </c>
      <c r="G359" t="s">
        <v>114</v>
      </c>
      <c r="H359" t="s">
        <v>115</v>
      </c>
      <c r="I359" t="s">
        <v>88</v>
      </c>
      <c r="J359" t="s">
        <v>78</v>
      </c>
      <c r="K359" t="s">
        <v>79</v>
      </c>
      <c r="L359" t="s">
        <v>156</v>
      </c>
      <c r="M359">
        <v>2</v>
      </c>
      <c r="N359">
        <v>800</v>
      </c>
      <c r="O359">
        <v>10</v>
      </c>
      <c r="P359">
        <v>1440</v>
      </c>
      <c r="Q359">
        <v>229.15</v>
      </c>
      <c r="R359" t="s">
        <v>50</v>
      </c>
      <c r="S359" t="s">
        <v>31</v>
      </c>
      <c r="T359" t="s">
        <v>32</v>
      </c>
    </row>
    <row r="360" spans="1:20" x14ac:dyDescent="0.35">
      <c r="A360" t="s">
        <v>973</v>
      </c>
      <c r="B360" t="s">
        <v>662</v>
      </c>
      <c r="C360" t="s">
        <v>587</v>
      </c>
      <c r="D360" t="s">
        <v>278</v>
      </c>
      <c r="E360" t="s">
        <v>37</v>
      </c>
      <c r="F360">
        <v>22</v>
      </c>
      <c r="G360" t="s">
        <v>46</v>
      </c>
      <c r="H360" t="s">
        <v>25</v>
      </c>
      <c r="I360" t="s">
        <v>26</v>
      </c>
      <c r="J360" t="s">
        <v>27</v>
      </c>
      <c r="K360" t="s">
        <v>28</v>
      </c>
      <c r="L360" t="s">
        <v>73</v>
      </c>
      <c r="M360">
        <v>5</v>
      </c>
      <c r="N360">
        <v>25000</v>
      </c>
      <c r="O360">
        <v>10</v>
      </c>
      <c r="P360">
        <v>112500</v>
      </c>
      <c r="Q360">
        <v>24906.35</v>
      </c>
      <c r="R360" t="s">
        <v>30</v>
      </c>
      <c r="S360" t="s">
        <v>51</v>
      </c>
      <c r="T360" t="s">
        <v>65</v>
      </c>
    </row>
    <row r="361" spans="1:20" x14ac:dyDescent="0.35">
      <c r="A361" t="s">
        <v>974</v>
      </c>
      <c r="B361" t="s">
        <v>934</v>
      </c>
      <c r="C361" t="s">
        <v>975</v>
      </c>
      <c r="D361" t="s">
        <v>976</v>
      </c>
      <c r="E361" t="s">
        <v>37</v>
      </c>
      <c r="F361">
        <v>43</v>
      </c>
      <c r="G361" t="s">
        <v>38</v>
      </c>
      <c r="H361" t="s">
        <v>39</v>
      </c>
      <c r="I361" t="s">
        <v>26</v>
      </c>
      <c r="J361" t="s">
        <v>78</v>
      </c>
      <c r="K361" t="s">
        <v>79</v>
      </c>
      <c r="L361" t="s">
        <v>156</v>
      </c>
      <c r="M361">
        <v>5</v>
      </c>
      <c r="N361">
        <v>800</v>
      </c>
      <c r="O361">
        <v>15</v>
      </c>
      <c r="P361">
        <v>3400</v>
      </c>
      <c r="Q361">
        <v>615.26</v>
      </c>
      <c r="R361" t="s">
        <v>59</v>
      </c>
      <c r="S361" t="s">
        <v>31</v>
      </c>
      <c r="T361" t="s">
        <v>117</v>
      </c>
    </row>
    <row r="362" spans="1:20" x14ac:dyDescent="0.35">
      <c r="A362" t="s">
        <v>977</v>
      </c>
      <c r="B362" t="s">
        <v>412</v>
      </c>
      <c r="C362" t="s">
        <v>711</v>
      </c>
      <c r="D362" t="s">
        <v>302</v>
      </c>
      <c r="E362" t="s">
        <v>23</v>
      </c>
      <c r="F362">
        <v>37</v>
      </c>
      <c r="G362" t="s">
        <v>86</v>
      </c>
      <c r="H362" t="s">
        <v>87</v>
      </c>
      <c r="I362" t="s">
        <v>88</v>
      </c>
      <c r="J362" t="s">
        <v>89</v>
      </c>
      <c r="K362" t="s">
        <v>90</v>
      </c>
      <c r="L362" t="s">
        <v>91</v>
      </c>
      <c r="M362">
        <v>3</v>
      </c>
      <c r="N362">
        <v>9000</v>
      </c>
      <c r="O362">
        <v>15</v>
      </c>
      <c r="P362">
        <v>22950</v>
      </c>
      <c r="Q362">
        <v>4127.55</v>
      </c>
      <c r="R362" t="s">
        <v>50</v>
      </c>
      <c r="S362" t="s">
        <v>51</v>
      </c>
      <c r="T362" t="s">
        <v>117</v>
      </c>
    </row>
    <row r="363" spans="1:20" x14ac:dyDescent="0.35">
      <c r="A363" t="s">
        <v>978</v>
      </c>
      <c r="B363" t="s">
        <v>283</v>
      </c>
      <c r="C363" t="s">
        <v>760</v>
      </c>
      <c r="D363" t="s">
        <v>338</v>
      </c>
      <c r="E363" t="s">
        <v>37</v>
      </c>
      <c r="F363">
        <v>54</v>
      </c>
      <c r="G363" t="s">
        <v>98</v>
      </c>
      <c r="H363" t="s">
        <v>99</v>
      </c>
      <c r="I363" t="s">
        <v>100</v>
      </c>
      <c r="J363" t="s">
        <v>89</v>
      </c>
      <c r="K363" t="s">
        <v>90</v>
      </c>
      <c r="L363" t="s">
        <v>91</v>
      </c>
      <c r="M363">
        <v>5</v>
      </c>
      <c r="N363">
        <v>9000</v>
      </c>
      <c r="O363">
        <v>5</v>
      </c>
      <c r="P363">
        <v>42750</v>
      </c>
      <c r="Q363">
        <v>9861.66</v>
      </c>
      <c r="R363" t="s">
        <v>50</v>
      </c>
      <c r="S363" t="s">
        <v>31</v>
      </c>
      <c r="T363" t="s">
        <v>93</v>
      </c>
    </row>
    <row r="364" spans="1:20" x14ac:dyDescent="0.35">
      <c r="A364" t="s">
        <v>979</v>
      </c>
      <c r="B364" t="s">
        <v>980</v>
      </c>
      <c r="C364" t="s">
        <v>981</v>
      </c>
      <c r="D364" t="s">
        <v>982</v>
      </c>
      <c r="E364" t="s">
        <v>37</v>
      </c>
      <c r="F364">
        <v>37</v>
      </c>
      <c r="G364" t="s">
        <v>57</v>
      </c>
      <c r="H364" t="s">
        <v>57</v>
      </c>
      <c r="I364" t="s">
        <v>58</v>
      </c>
      <c r="J364" t="s">
        <v>47</v>
      </c>
      <c r="K364" t="s">
        <v>48</v>
      </c>
      <c r="L364" t="s">
        <v>116</v>
      </c>
      <c r="M364">
        <v>4</v>
      </c>
      <c r="N364">
        <v>120</v>
      </c>
      <c r="O364">
        <v>15</v>
      </c>
      <c r="P364">
        <v>408</v>
      </c>
      <c r="Q364">
        <v>56.13</v>
      </c>
      <c r="R364" t="s">
        <v>50</v>
      </c>
      <c r="S364" t="s">
        <v>92</v>
      </c>
      <c r="T364" t="s">
        <v>32</v>
      </c>
    </row>
    <row r="365" spans="1:20" x14ac:dyDescent="0.35">
      <c r="A365" t="s">
        <v>983</v>
      </c>
      <c r="B365" t="s">
        <v>984</v>
      </c>
      <c r="C365" t="s">
        <v>214</v>
      </c>
      <c r="D365" t="s">
        <v>985</v>
      </c>
      <c r="E365" t="s">
        <v>23</v>
      </c>
      <c r="F365">
        <v>44</v>
      </c>
      <c r="G365" t="s">
        <v>38</v>
      </c>
      <c r="H365" t="s">
        <v>39</v>
      </c>
      <c r="I365" t="s">
        <v>26</v>
      </c>
      <c r="J365" t="s">
        <v>89</v>
      </c>
      <c r="K365" t="s">
        <v>90</v>
      </c>
      <c r="L365" t="s">
        <v>242</v>
      </c>
      <c r="M365">
        <v>5</v>
      </c>
      <c r="N365">
        <v>6000</v>
      </c>
      <c r="O365">
        <v>10</v>
      </c>
      <c r="P365">
        <v>27000</v>
      </c>
      <c r="Q365">
        <v>2868.77</v>
      </c>
      <c r="R365" t="s">
        <v>50</v>
      </c>
      <c r="S365" t="s">
        <v>51</v>
      </c>
      <c r="T365" t="s">
        <v>117</v>
      </c>
    </row>
    <row r="366" spans="1:20" x14ac:dyDescent="0.35">
      <c r="A366" t="s">
        <v>986</v>
      </c>
      <c r="B366" t="s">
        <v>75</v>
      </c>
      <c r="C366" t="s">
        <v>893</v>
      </c>
      <c r="D366" t="s">
        <v>797</v>
      </c>
      <c r="E366" t="s">
        <v>23</v>
      </c>
      <c r="F366">
        <v>45</v>
      </c>
      <c r="G366" t="s">
        <v>46</v>
      </c>
      <c r="H366" t="s">
        <v>25</v>
      </c>
      <c r="I366" t="s">
        <v>26</v>
      </c>
      <c r="J366" t="s">
        <v>78</v>
      </c>
      <c r="K366" t="s">
        <v>79</v>
      </c>
      <c r="L366" t="s">
        <v>80</v>
      </c>
      <c r="M366">
        <v>5</v>
      </c>
      <c r="N366">
        <v>1800</v>
      </c>
      <c r="O366">
        <v>0</v>
      </c>
      <c r="P366">
        <v>9000</v>
      </c>
      <c r="Q366">
        <v>1130.51</v>
      </c>
      <c r="R366" t="s">
        <v>50</v>
      </c>
      <c r="S366" t="s">
        <v>31</v>
      </c>
      <c r="T366" t="s">
        <v>117</v>
      </c>
    </row>
    <row r="367" spans="1:20" x14ac:dyDescent="0.35">
      <c r="A367" t="s">
        <v>987</v>
      </c>
      <c r="B367" t="s">
        <v>988</v>
      </c>
      <c r="C367" t="s">
        <v>508</v>
      </c>
      <c r="D367" t="s">
        <v>477</v>
      </c>
      <c r="E367" t="s">
        <v>37</v>
      </c>
      <c r="F367">
        <v>41</v>
      </c>
      <c r="G367" t="s">
        <v>46</v>
      </c>
      <c r="H367" t="s">
        <v>25</v>
      </c>
      <c r="I367" t="s">
        <v>26</v>
      </c>
      <c r="J367" t="s">
        <v>47</v>
      </c>
      <c r="K367" t="s">
        <v>48</v>
      </c>
      <c r="L367" t="s">
        <v>215</v>
      </c>
      <c r="M367">
        <v>2</v>
      </c>
      <c r="N367">
        <v>450</v>
      </c>
      <c r="O367">
        <v>0</v>
      </c>
      <c r="P367">
        <v>900</v>
      </c>
      <c r="Q367">
        <v>215.97</v>
      </c>
      <c r="R367" t="s">
        <v>30</v>
      </c>
      <c r="S367" t="s">
        <v>31</v>
      </c>
      <c r="T367" t="s">
        <v>52</v>
      </c>
    </row>
    <row r="368" spans="1:20" x14ac:dyDescent="0.35">
      <c r="A368" t="s">
        <v>989</v>
      </c>
      <c r="B368" t="s">
        <v>990</v>
      </c>
      <c r="C368" t="s">
        <v>21</v>
      </c>
      <c r="D368" t="s">
        <v>514</v>
      </c>
      <c r="E368" t="s">
        <v>23</v>
      </c>
      <c r="F368">
        <v>26</v>
      </c>
      <c r="G368" t="s">
        <v>98</v>
      </c>
      <c r="H368" t="s">
        <v>99</v>
      </c>
      <c r="I368" t="s">
        <v>100</v>
      </c>
      <c r="J368" t="s">
        <v>27</v>
      </c>
      <c r="K368" t="s">
        <v>28</v>
      </c>
      <c r="L368" t="s">
        <v>73</v>
      </c>
      <c r="M368">
        <v>2</v>
      </c>
      <c r="N368">
        <v>25000</v>
      </c>
      <c r="O368">
        <v>15</v>
      </c>
      <c r="P368">
        <v>42500</v>
      </c>
      <c r="Q368">
        <v>8510.81</v>
      </c>
      <c r="R368" t="s">
        <v>59</v>
      </c>
      <c r="S368" t="s">
        <v>51</v>
      </c>
      <c r="T368" t="s">
        <v>52</v>
      </c>
    </row>
    <row r="369" spans="1:20" x14ac:dyDescent="0.35">
      <c r="A369" t="s">
        <v>991</v>
      </c>
      <c r="B369" t="s">
        <v>350</v>
      </c>
      <c r="C369" t="s">
        <v>63</v>
      </c>
      <c r="D369" t="s">
        <v>660</v>
      </c>
      <c r="E369" t="s">
        <v>37</v>
      </c>
      <c r="F369">
        <v>41</v>
      </c>
      <c r="G369" t="s">
        <v>98</v>
      </c>
      <c r="H369" t="s">
        <v>99</v>
      </c>
      <c r="I369" t="s">
        <v>100</v>
      </c>
      <c r="J369" t="s">
        <v>47</v>
      </c>
      <c r="K369" t="s">
        <v>48</v>
      </c>
      <c r="L369" t="s">
        <v>49</v>
      </c>
      <c r="M369">
        <v>3</v>
      </c>
      <c r="N369">
        <v>150</v>
      </c>
      <c r="O369">
        <v>5</v>
      </c>
      <c r="P369">
        <v>427.5</v>
      </c>
      <c r="Q369">
        <v>35.659999999999997</v>
      </c>
      <c r="R369" t="s">
        <v>59</v>
      </c>
      <c r="S369" t="s">
        <v>51</v>
      </c>
      <c r="T369" t="s">
        <v>93</v>
      </c>
    </row>
    <row r="370" spans="1:20" x14ac:dyDescent="0.35">
      <c r="A370" t="s">
        <v>992</v>
      </c>
      <c r="B370" t="s">
        <v>993</v>
      </c>
      <c r="C370" t="s">
        <v>464</v>
      </c>
      <c r="D370" t="s">
        <v>298</v>
      </c>
      <c r="E370" t="s">
        <v>23</v>
      </c>
      <c r="F370">
        <v>39</v>
      </c>
      <c r="G370" t="s">
        <v>38</v>
      </c>
      <c r="H370" t="s">
        <v>39</v>
      </c>
      <c r="I370" t="s">
        <v>26</v>
      </c>
      <c r="J370" t="s">
        <v>27</v>
      </c>
      <c r="K370" t="s">
        <v>28</v>
      </c>
      <c r="L370" t="s">
        <v>73</v>
      </c>
      <c r="M370">
        <v>4</v>
      </c>
      <c r="N370">
        <v>25000</v>
      </c>
      <c r="O370">
        <v>10</v>
      </c>
      <c r="P370">
        <v>90000</v>
      </c>
      <c r="Q370">
        <v>16598.22</v>
      </c>
      <c r="R370" t="s">
        <v>81</v>
      </c>
      <c r="S370" t="s">
        <v>51</v>
      </c>
      <c r="T370" t="s">
        <v>93</v>
      </c>
    </row>
    <row r="371" spans="1:20" x14ac:dyDescent="0.35">
      <c r="A371" t="s">
        <v>994</v>
      </c>
      <c r="B371" t="s">
        <v>995</v>
      </c>
      <c r="C371" t="s">
        <v>357</v>
      </c>
      <c r="D371" t="s">
        <v>226</v>
      </c>
      <c r="E371" t="s">
        <v>23</v>
      </c>
      <c r="F371">
        <v>37</v>
      </c>
      <c r="G371" t="s">
        <v>114</v>
      </c>
      <c r="H371" t="s">
        <v>115</v>
      </c>
      <c r="I371" t="s">
        <v>88</v>
      </c>
      <c r="J371" t="s">
        <v>89</v>
      </c>
      <c r="K371" t="s">
        <v>90</v>
      </c>
      <c r="L371" t="s">
        <v>242</v>
      </c>
      <c r="M371">
        <v>2</v>
      </c>
      <c r="N371">
        <v>6000</v>
      </c>
      <c r="O371">
        <v>15</v>
      </c>
      <c r="P371">
        <v>10200</v>
      </c>
      <c r="Q371">
        <v>2420.6</v>
      </c>
      <c r="R371" t="s">
        <v>50</v>
      </c>
      <c r="S371" t="s">
        <v>92</v>
      </c>
      <c r="T371" t="s">
        <v>117</v>
      </c>
    </row>
    <row r="372" spans="1:20" x14ac:dyDescent="0.35">
      <c r="A372" t="s">
        <v>996</v>
      </c>
      <c r="B372" t="s">
        <v>997</v>
      </c>
      <c r="C372" t="s">
        <v>237</v>
      </c>
      <c r="D372" t="s">
        <v>352</v>
      </c>
      <c r="E372" t="s">
        <v>23</v>
      </c>
      <c r="F372">
        <v>30</v>
      </c>
      <c r="G372" t="s">
        <v>86</v>
      </c>
      <c r="H372" t="s">
        <v>87</v>
      </c>
      <c r="I372" t="s">
        <v>88</v>
      </c>
      <c r="J372" t="s">
        <v>27</v>
      </c>
      <c r="K372" t="s">
        <v>28</v>
      </c>
      <c r="L372" t="s">
        <v>140</v>
      </c>
      <c r="M372">
        <v>1</v>
      </c>
      <c r="N372">
        <v>65000</v>
      </c>
      <c r="O372">
        <v>15</v>
      </c>
      <c r="P372">
        <v>55250</v>
      </c>
      <c r="Q372">
        <v>5363.27</v>
      </c>
      <c r="R372" t="s">
        <v>81</v>
      </c>
      <c r="S372" t="s">
        <v>51</v>
      </c>
      <c r="T372" t="s">
        <v>32</v>
      </c>
    </row>
    <row r="373" spans="1:20" x14ac:dyDescent="0.35">
      <c r="A373" t="s">
        <v>998</v>
      </c>
      <c r="B373" t="s">
        <v>999</v>
      </c>
      <c r="C373" t="s">
        <v>530</v>
      </c>
      <c r="D373" t="s">
        <v>105</v>
      </c>
      <c r="E373" t="s">
        <v>23</v>
      </c>
      <c r="F373">
        <v>28</v>
      </c>
      <c r="G373" t="s">
        <v>98</v>
      </c>
      <c r="H373" t="s">
        <v>99</v>
      </c>
      <c r="I373" t="s">
        <v>100</v>
      </c>
      <c r="J373" t="s">
        <v>27</v>
      </c>
      <c r="K373" t="s">
        <v>28</v>
      </c>
      <c r="L373" t="s">
        <v>40</v>
      </c>
      <c r="M373">
        <v>5</v>
      </c>
      <c r="N373">
        <v>2500</v>
      </c>
      <c r="O373">
        <v>5</v>
      </c>
      <c r="P373">
        <v>11875</v>
      </c>
      <c r="Q373">
        <v>3316.55</v>
      </c>
      <c r="R373" t="s">
        <v>50</v>
      </c>
      <c r="S373" t="s">
        <v>51</v>
      </c>
      <c r="T373" t="s">
        <v>93</v>
      </c>
    </row>
    <row r="374" spans="1:20" x14ac:dyDescent="0.35">
      <c r="A374" t="s">
        <v>1000</v>
      </c>
      <c r="B374" t="s">
        <v>473</v>
      </c>
      <c r="C374" t="s">
        <v>539</v>
      </c>
      <c r="D374" t="s">
        <v>155</v>
      </c>
      <c r="E374" t="s">
        <v>23</v>
      </c>
      <c r="F374">
        <v>28</v>
      </c>
      <c r="G374" t="s">
        <v>86</v>
      </c>
      <c r="H374" t="s">
        <v>87</v>
      </c>
      <c r="I374" t="s">
        <v>88</v>
      </c>
      <c r="J374" t="s">
        <v>89</v>
      </c>
      <c r="K374" t="s">
        <v>90</v>
      </c>
      <c r="L374" t="s">
        <v>91</v>
      </c>
      <c r="M374">
        <v>3</v>
      </c>
      <c r="N374">
        <v>9000</v>
      </c>
      <c r="O374">
        <v>5</v>
      </c>
      <c r="P374">
        <v>25650</v>
      </c>
      <c r="Q374">
        <v>6851.34</v>
      </c>
      <c r="R374" t="s">
        <v>30</v>
      </c>
      <c r="S374" t="s">
        <v>31</v>
      </c>
      <c r="T374" t="s">
        <v>65</v>
      </c>
    </row>
    <row r="375" spans="1:20" x14ac:dyDescent="0.35">
      <c r="A375" t="s">
        <v>1001</v>
      </c>
      <c r="B375" t="s">
        <v>432</v>
      </c>
      <c r="C375" t="s">
        <v>196</v>
      </c>
      <c r="D375" t="s">
        <v>477</v>
      </c>
      <c r="E375" t="s">
        <v>23</v>
      </c>
      <c r="F375">
        <v>51</v>
      </c>
      <c r="G375" t="s">
        <v>126</v>
      </c>
      <c r="H375" t="s">
        <v>127</v>
      </c>
      <c r="I375" t="s">
        <v>88</v>
      </c>
      <c r="J375" t="s">
        <v>78</v>
      </c>
      <c r="K375" t="s">
        <v>79</v>
      </c>
      <c r="L375" t="s">
        <v>156</v>
      </c>
      <c r="M375">
        <v>3</v>
      </c>
      <c r="N375">
        <v>800</v>
      </c>
      <c r="O375">
        <v>0</v>
      </c>
      <c r="P375">
        <v>2400</v>
      </c>
      <c r="Q375">
        <v>612.45000000000005</v>
      </c>
      <c r="R375" t="s">
        <v>59</v>
      </c>
      <c r="S375" t="s">
        <v>92</v>
      </c>
      <c r="T375" t="s">
        <v>93</v>
      </c>
    </row>
    <row r="376" spans="1:20" x14ac:dyDescent="0.35">
      <c r="A376" t="s">
        <v>1002</v>
      </c>
      <c r="B376" t="s">
        <v>1003</v>
      </c>
      <c r="C376" t="s">
        <v>274</v>
      </c>
      <c r="D376" t="s">
        <v>1004</v>
      </c>
      <c r="E376" t="s">
        <v>37</v>
      </c>
      <c r="F376">
        <v>46</v>
      </c>
      <c r="G376" t="s">
        <v>98</v>
      </c>
      <c r="H376" t="s">
        <v>99</v>
      </c>
      <c r="I376" t="s">
        <v>100</v>
      </c>
      <c r="J376" t="s">
        <v>89</v>
      </c>
      <c r="K376" t="s">
        <v>90</v>
      </c>
      <c r="L376" t="s">
        <v>242</v>
      </c>
      <c r="M376">
        <v>4</v>
      </c>
      <c r="N376">
        <v>6000</v>
      </c>
      <c r="O376">
        <v>15</v>
      </c>
      <c r="P376">
        <v>20400</v>
      </c>
      <c r="Q376">
        <v>2079.25</v>
      </c>
      <c r="R376" t="s">
        <v>41</v>
      </c>
      <c r="S376" t="s">
        <v>51</v>
      </c>
      <c r="T376" t="s">
        <v>32</v>
      </c>
    </row>
    <row r="377" spans="1:20" x14ac:dyDescent="0.35">
      <c r="A377" t="s">
        <v>1005</v>
      </c>
      <c r="B377" t="s">
        <v>1006</v>
      </c>
      <c r="C377" t="s">
        <v>347</v>
      </c>
      <c r="D377" t="s">
        <v>589</v>
      </c>
      <c r="E377" t="s">
        <v>23</v>
      </c>
      <c r="F377">
        <v>59</v>
      </c>
      <c r="G377" t="s">
        <v>38</v>
      </c>
      <c r="H377" t="s">
        <v>39</v>
      </c>
      <c r="I377" t="s">
        <v>26</v>
      </c>
      <c r="J377" t="s">
        <v>89</v>
      </c>
      <c r="K377" t="s">
        <v>90</v>
      </c>
      <c r="L377" t="s">
        <v>128</v>
      </c>
      <c r="M377">
        <v>3</v>
      </c>
      <c r="N377">
        <v>7000</v>
      </c>
      <c r="O377">
        <v>10</v>
      </c>
      <c r="P377">
        <v>18900</v>
      </c>
      <c r="Q377">
        <v>2446.1</v>
      </c>
      <c r="R377" t="s">
        <v>50</v>
      </c>
      <c r="S377" t="s">
        <v>51</v>
      </c>
      <c r="T377" t="s">
        <v>32</v>
      </c>
    </row>
    <row r="378" spans="1:20" x14ac:dyDescent="0.35">
      <c r="A378" t="s">
        <v>1007</v>
      </c>
      <c r="B378" t="s">
        <v>934</v>
      </c>
      <c r="C378" t="s">
        <v>763</v>
      </c>
      <c r="D378" t="s">
        <v>555</v>
      </c>
      <c r="E378" t="s">
        <v>23</v>
      </c>
      <c r="F378">
        <v>60</v>
      </c>
      <c r="G378" t="s">
        <v>114</v>
      </c>
      <c r="H378" t="s">
        <v>115</v>
      </c>
      <c r="I378" t="s">
        <v>88</v>
      </c>
      <c r="J378" t="s">
        <v>27</v>
      </c>
      <c r="K378" t="s">
        <v>28</v>
      </c>
      <c r="L378" t="s">
        <v>140</v>
      </c>
      <c r="M378">
        <v>4</v>
      </c>
      <c r="N378">
        <v>65000</v>
      </c>
      <c r="O378">
        <v>5</v>
      </c>
      <c r="P378">
        <v>247000</v>
      </c>
      <c r="Q378">
        <v>64051.13</v>
      </c>
      <c r="R378" t="s">
        <v>41</v>
      </c>
      <c r="S378" t="s">
        <v>51</v>
      </c>
      <c r="T378" t="s">
        <v>32</v>
      </c>
    </row>
    <row r="379" spans="1:20" x14ac:dyDescent="0.35">
      <c r="A379" t="s">
        <v>1008</v>
      </c>
      <c r="B379" t="s">
        <v>1009</v>
      </c>
      <c r="C379" t="s">
        <v>270</v>
      </c>
      <c r="D379" t="s">
        <v>292</v>
      </c>
      <c r="E379" t="s">
        <v>23</v>
      </c>
      <c r="F379">
        <v>59</v>
      </c>
      <c r="G379" t="s">
        <v>38</v>
      </c>
      <c r="H379" t="s">
        <v>39</v>
      </c>
      <c r="I379" t="s">
        <v>26</v>
      </c>
      <c r="J379" t="s">
        <v>47</v>
      </c>
      <c r="K379" t="s">
        <v>48</v>
      </c>
      <c r="L379" t="s">
        <v>116</v>
      </c>
      <c r="M379">
        <v>3</v>
      </c>
      <c r="N379">
        <v>120</v>
      </c>
      <c r="O379">
        <v>5</v>
      </c>
      <c r="P379">
        <v>342</v>
      </c>
      <c r="Q379">
        <v>62.29</v>
      </c>
      <c r="R379" t="s">
        <v>41</v>
      </c>
      <c r="S379" t="s">
        <v>92</v>
      </c>
      <c r="T379" t="s">
        <v>65</v>
      </c>
    </row>
    <row r="380" spans="1:20" x14ac:dyDescent="0.35">
      <c r="A380" t="s">
        <v>1010</v>
      </c>
      <c r="B380" t="s">
        <v>184</v>
      </c>
      <c r="C380" t="s">
        <v>1011</v>
      </c>
      <c r="D380" t="s">
        <v>226</v>
      </c>
      <c r="E380" t="s">
        <v>23</v>
      </c>
      <c r="F380">
        <v>44</v>
      </c>
      <c r="G380" t="s">
        <v>24</v>
      </c>
      <c r="H380" t="s">
        <v>25</v>
      </c>
      <c r="I380" t="s">
        <v>26</v>
      </c>
      <c r="J380" t="s">
        <v>47</v>
      </c>
      <c r="K380" t="s">
        <v>48</v>
      </c>
      <c r="L380" t="s">
        <v>215</v>
      </c>
      <c r="M380">
        <v>3</v>
      </c>
      <c r="N380">
        <v>450</v>
      </c>
      <c r="O380">
        <v>10</v>
      </c>
      <c r="P380">
        <v>1215</v>
      </c>
      <c r="Q380">
        <v>185.27</v>
      </c>
      <c r="R380" t="s">
        <v>41</v>
      </c>
      <c r="S380" t="s">
        <v>92</v>
      </c>
      <c r="T380" t="s">
        <v>32</v>
      </c>
    </row>
    <row r="381" spans="1:20" x14ac:dyDescent="0.35">
      <c r="A381" t="s">
        <v>1012</v>
      </c>
      <c r="B381" t="s">
        <v>1013</v>
      </c>
      <c r="C381" t="s">
        <v>429</v>
      </c>
      <c r="D381" t="s">
        <v>1014</v>
      </c>
      <c r="E381" t="s">
        <v>23</v>
      </c>
      <c r="F381">
        <v>59</v>
      </c>
      <c r="G381" t="s">
        <v>86</v>
      </c>
      <c r="H381" t="s">
        <v>87</v>
      </c>
      <c r="I381" t="s">
        <v>88</v>
      </c>
      <c r="J381" t="s">
        <v>47</v>
      </c>
      <c r="K381" t="s">
        <v>48</v>
      </c>
      <c r="L381" t="s">
        <v>49</v>
      </c>
      <c r="M381">
        <v>2</v>
      </c>
      <c r="N381">
        <v>150</v>
      </c>
      <c r="O381">
        <v>0</v>
      </c>
      <c r="P381">
        <v>300</v>
      </c>
      <c r="Q381">
        <v>45.36</v>
      </c>
      <c r="R381" t="s">
        <v>30</v>
      </c>
      <c r="S381" t="s">
        <v>51</v>
      </c>
      <c r="T381" t="s">
        <v>32</v>
      </c>
    </row>
    <row r="382" spans="1:20" x14ac:dyDescent="0.35">
      <c r="A382" t="s">
        <v>1015</v>
      </c>
      <c r="B382" t="s">
        <v>1016</v>
      </c>
      <c r="C382" t="s">
        <v>587</v>
      </c>
      <c r="D382" t="s">
        <v>302</v>
      </c>
      <c r="E382" t="s">
        <v>23</v>
      </c>
      <c r="F382">
        <v>49</v>
      </c>
      <c r="G382" t="s">
        <v>114</v>
      </c>
      <c r="H382" t="s">
        <v>115</v>
      </c>
      <c r="I382" t="s">
        <v>88</v>
      </c>
      <c r="J382" t="s">
        <v>27</v>
      </c>
      <c r="K382" t="s">
        <v>28</v>
      </c>
      <c r="L382" t="s">
        <v>73</v>
      </c>
      <c r="M382">
        <v>3</v>
      </c>
      <c r="N382">
        <v>25000</v>
      </c>
      <c r="O382">
        <v>15</v>
      </c>
      <c r="P382">
        <v>63750</v>
      </c>
      <c r="Q382">
        <v>12655.6</v>
      </c>
      <c r="R382" t="s">
        <v>30</v>
      </c>
      <c r="S382" t="s">
        <v>51</v>
      </c>
      <c r="T382" t="s">
        <v>117</v>
      </c>
    </row>
    <row r="383" spans="1:20" x14ac:dyDescent="0.35">
      <c r="A383" t="s">
        <v>1017</v>
      </c>
      <c r="B383" t="s">
        <v>1018</v>
      </c>
      <c r="C383" t="s">
        <v>508</v>
      </c>
      <c r="D383" t="s">
        <v>813</v>
      </c>
      <c r="E383" t="s">
        <v>37</v>
      </c>
      <c r="F383">
        <v>34</v>
      </c>
      <c r="G383" t="s">
        <v>57</v>
      </c>
      <c r="H383" t="s">
        <v>57</v>
      </c>
      <c r="I383" t="s">
        <v>58</v>
      </c>
      <c r="J383" t="s">
        <v>78</v>
      </c>
      <c r="K383" t="s">
        <v>79</v>
      </c>
      <c r="L383" t="s">
        <v>80</v>
      </c>
      <c r="M383">
        <v>3</v>
      </c>
      <c r="N383">
        <v>1800</v>
      </c>
      <c r="O383">
        <v>15</v>
      </c>
      <c r="P383">
        <v>4590</v>
      </c>
      <c r="Q383">
        <v>1198.95</v>
      </c>
      <c r="R383" t="s">
        <v>30</v>
      </c>
      <c r="S383" t="s">
        <v>92</v>
      </c>
      <c r="T383" t="s">
        <v>32</v>
      </c>
    </row>
    <row r="384" spans="1:20" x14ac:dyDescent="0.35">
      <c r="A384" t="s">
        <v>1019</v>
      </c>
      <c r="B384" t="s">
        <v>961</v>
      </c>
      <c r="C384" t="s">
        <v>284</v>
      </c>
      <c r="D384" t="s">
        <v>121</v>
      </c>
      <c r="E384" t="s">
        <v>37</v>
      </c>
      <c r="F384">
        <v>50</v>
      </c>
      <c r="G384" t="s">
        <v>57</v>
      </c>
      <c r="H384" t="s">
        <v>57</v>
      </c>
      <c r="I384" t="s">
        <v>58</v>
      </c>
      <c r="J384" t="s">
        <v>89</v>
      </c>
      <c r="K384" t="s">
        <v>90</v>
      </c>
      <c r="L384" t="s">
        <v>91</v>
      </c>
      <c r="M384">
        <v>4</v>
      </c>
      <c r="N384">
        <v>9000</v>
      </c>
      <c r="O384">
        <v>15</v>
      </c>
      <c r="P384">
        <v>30600</v>
      </c>
      <c r="Q384">
        <v>3637.1</v>
      </c>
      <c r="R384" t="s">
        <v>59</v>
      </c>
      <c r="S384" t="s">
        <v>92</v>
      </c>
      <c r="T384" t="s">
        <v>52</v>
      </c>
    </row>
    <row r="385" spans="1:20" x14ac:dyDescent="0.35">
      <c r="A385" t="s">
        <v>1020</v>
      </c>
      <c r="B385" t="s">
        <v>1021</v>
      </c>
      <c r="C385" t="s">
        <v>464</v>
      </c>
      <c r="D385" t="s">
        <v>285</v>
      </c>
      <c r="E385" t="s">
        <v>37</v>
      </c>
      <c r="F385">
        <v>20</v>
      </c>
      <c r="G385" t="s">
        <v>57</v>
      </c>
      <c r="H385" t="s">
        <v>57</v>
      </c>
      <c r="I385" t="s">
        <v>58</v>
      </c>
      <c r="J385" t="s">
        <v>27</v>
      </c>
      <c r="K385" t="s">
        <v>28</v>
      </c>
      <c r="L385" t="s">
        <v>140</v>
      </c>
      <c r="M385">
        <v>5</v>
      </c>
      <c r="N385">
        <v>65000</v>
      </c>
      <c r="O385">
        <v>15</v>
      </c>
      <c r="P385">
        <v>276250</v>
      </c>
      <c r="Q385">
        <v>38853.480000000003</v>
      </c>
      <c r="R385" t="s">
        <v>50</v>
      </c>
      <c r="S385" t="s">
        <v>51</v>
      </c>
      <c r="T385" t="s">
        <v>60</v>
      </c>
    </row>
    <row r="386" spans="1:20" x14ac:dyDescent="0.35">
      <c r="A386" t="s">
        <v>1022</v>
      </c>
      <c r="B386" t="s">
        <v>905</v>
      </c>
      <c r="C386" t="s">
        <v>229</v>
      </c>
      <c r="D386" t="s">
        <v>421</v>
      </c>
      <c r="E386" t="s">
        <v>37</v>
      </c>
      <c r="F386">
        <v>27</v>
      </c>
      <c r="G386" t="s">
        <v>46</v>
      </c>
      <c r="H386" t="s">
        <v>25</v>
      </c>
      <c r="I386" t="s">
        <v>26</v>
      </c>
      <c r="J386" t="s">
        <v>78</v>
      </c>
      <c r="K386" t="s">
        <v>79</v>
      </c>
      <c r="L386" t="s">
        <v>101</v>
      </c>
      <c r="M386">
        <v>4</v>
      </c>
      <c r="N386">
        <v>3500</v>
      </c>
      <c r="O386">
        <v>20</v>
      </c>
      <c r="P386">
        <v>11200</v>
      </c>
      <c r="Q386">
        <v>2322.88</v>
      </c>
      <c r="R386" t="s">
        <v>41</v>
      </c>
      <c r="S386" t="s">
        <v>31</v>
      </c>
      <c r="T386" t="s">
        <v>32</v>
      </c>
    </row>
    <row r="387" spans="1:20" x14ac:dyDescent="0.35">
      <c r="A387" t="s">
        <v>1023</v>
      </c>
      <c r="B387" t="s">
        <v>1024</v>
      </c>
      <c r="C387" t="s">
        <v>456</v>
      </c>
      <c r="D387" t="s">
        <v>566</v>
      </c>
      <c r="E387" t="s">
        <v>23</v>
      </c>
      <c r="F387">
        <v>51</v>
      </c>
      <c r="G387" t="s">
        <v>86</v>
      </c>
      <c r="H387" t="s">
        <v>87</v>
      </c>
      <c r="I387" t="s">
        <v>88</v>
      </c>
      <c r="J387" t="s">
        <v>47</v>
      </c>
      <c r="K387" t="s">
        <v>48</v>
      </c>
      <c r="L387" t="s">
        <v>215</v>
      </c>
      <c r="M387">
        <v>4</v>
      </c>
      <c r="N387">
        <v>450</v>
      </c>
      <c r="O387">
        <v>5</v>
      </c>
      <c r="P387">
        <v>1710</v>
      </c>
      <c r="Q387">
        <v>261.2</v>
      </c>
      <c r="R387" t="s">
        <v>81</v>
      </c>
      <c r="S387" t="s">
        <v>31</v>
      </c>
      <c r="T387" t="s">
        <v>60</v>
      </c>
    </row>
    <row r="388" spans="1:20" x14ac:dyDescent="0.35">
      <c r="A388" t="s">
        <v>1025</v>
      </c>
      <c r="B388" t="s">
        <v>210</v>
      </c>
      <c r="C388" t="s">
        <v>1026</v>
      </c>
      <c r="D388" t="s">
        <v>1027</v>
      </c>
      <c r="E388" t="s">
        <v>23</v>
      </c>
      <c r="F388">
        <v>47</v>
      </c>
      <c r="G388" t="s">
        <v>114</v>
      </c>
      <c r="H388" t="s">
        <v>115</v>
      </c>
      <c r="I388" t="s">
        <v>88</v>
      </c>
      <c r="J388" t="s">
        <v>27</v>
      </c>
      <c r="K388" t="s">
        <v>28</v>
      </c>
      <c r="L388" t="s">
        <v>140</v>
      </c>
      <c r="M388">
        <v>3</v>
      </c>
      <c r="N388">
        <v>65000</v>
      </c>
      <c r="O388">
        <v>20</v>
      </c>
      <c r="P388">
        <v>156000</v>
      </c>
      <c r="Q388">
        <v>28260.42</v>
      </c>
      <c r="R388" t="s">
        <v>81</v>
      </c>
      <c r="S388" t="s">
        <v>51</v>
      </c>
      <c r="T388" t="s">
        <v>117</v>
      </c>
    </row>
    <row r="389" spans="1:20" x14ac:dyDescent="0.35">
      <c r="A389" t="s">
        <v>1028</v>
      </c>
      <c r="B389" t="s">
        <v>1029</v>
      </c>
      <c r="C389" t="s">
        <v>291</v>
      </c>
      <c r="D389" t="s">
        <v>226</v>
      </c>
      <c r="E389" t="s">
        <v>23</v>
      </c>
      <c r="F389">
        <v>20</v>
      </c>
      <c r="G389" t="s">
        <v>86</v>
      </c>
      <c r="H389" t="s">
        <v>87</v>
      </c>
      <c r="I389" t="s">
        <v>88</v>
      </c>
      <c r="J389" t="s">
        <v>27</v>
      </c>
      <c r="K389" t="s">
        <v>28</v>
      </c>
      <c r="L389" t="s">
        <v>73</v>
      </c>
      <c r="M389">
        <v>5</v>
      </c>
      <c r="N389">
        <v>25000</v>
      </c>
      <c r="O389">
        <v>10</v>
      </c>
      <c r="P389">
        <v>112500</v>
      </c>
      <c r="Q389">
        <v>15436.49</v>
      </c>
      <c r="R389" t="s">
        <v>41</v>
      </c>
      <c r="S389" t="s">
        <v>51</v>
      </c>
      <c r="T389" t="s">
        <v>65</v>
      </c>
    </row>
    <row r="390" spans="1:20" x14ac:dyDescent="0.35">
      <c r="A390" t="s">
        <v>1030</v>
      </c>
      <c r="B390" t="s">
        <v>1031</v>
      </c>
      <c r="C390" t="s">
        <v>594</v>
      </c>
      <c r="D390" t="s">
        <v>160</v>
      </c>
      <c r="E390" t="s">
        <v>23</v>
      </c>
      <c r="F390">
        <v>32</v>
      </c>
      <c r="G390" t="s">
        <v>86</v>
      </c>
      <c r="H390" t="s">
        <v>87</v>
      </c>
      <c r="I390" t="s">
        <v>88</v>
      </c>
      <c r="J390" t="s">
        <v>27</v>
      </c>
      <c r="K390" t="s">
        <v>28</v>
      </c>
      <c r="L390" t="s">
        <v>140</v>
      </c>
      <c r="M390">
        <v>4</v>
      </c>
      <c r="N390">
        <v>65000</v>
      </c>
      <c r="O390">
        <v>5</v>
      </c>
      <c r="P390">
        <v>247000</v>
      </c>
      <c r="Q390">
        <v>65645.679999999993</v>
      </c>
      <c r="R390" t="s">
        <v>41</v>
      </c>
      <c r="S390" t="s">
        <v>31</v>
      </c>
      <c r="T390" t="s">
        <v>60</v>
      </c>
    </row>
    <row r="391" spans="1:20" x14ac:dyDescent="0.35">
      <c r="A391" t="s">
        <v>1032</v>
      </c>
      <c r="B391" t="s">
        <v>1033</v>
      </c>
      <c r="C391" t="s">
        <v>598</v>
      </c>
      <c r="D391" t="s">
        <v>633</v>
      </c>
      <c r="E391" t="s">
        <v>23</v>
      </c>
      <c r="F391">
        <v>36</v>
      </c>
      <c r="G391" t="s">
        <v>114</v>
      </c>
      <c r="H391" t="s">
        <v>115</v>
      </c>
      <c r="I391" t="s">
        <v>88</v>
      </c>
      <c r="J391" t="s">
        <v>47</v>
      </c>
      <c r="K391" t="s">
        <v>48</v>
      </c>
      <c r="L391" t="s">
        <v>215</v>
      </c>
      <c r="M391">
        <v>3</v>
      </c>
      <c r="N391">
        <v>450</v>
      </c>
      <c r="O391">
        <v>5</v>
      </c>
      <c r="P391">
        <v>1282.5</v>
      </c>
      <c r="Q391">
        <v>226.46</v>
      </c>
      <c r="R391" t="s">
        <v>81</v>
      </c>
      <c r="S391" t="s">
        <v>51</v>
      </c>
      <c r="T391" t="s">
        <v>52</v>
      </c>
    </row>
    <row r="392" spans="1:20" x14ac:dyDescent="0.35">
      <c r="A392" t="s">
        <v>1034</v>
      </c>
      <c r="B392" t="s">
        <v>350</v>
      </c>
      <c r="C392" t="s">
        <v>689</v>
      </c>
      <c r="D392" t="s">
        <v>332</v>
      </c>
      <c r="E392" t="s">
        <v>23</v>
      </c>
      <c r="F392">
        <v>60</v>
      </c>
      <c r="G392" t="s">
        <v>24</v>
      </c>
      <c r="H392" t="s">
        <v>25</v>
      </c>
      <c r="I392" t="s">
        <v>26</v>
      </c>
      <c r="J392" t="s">
        <v>47</v>
      </c>
      <c r="K392" t="s">
        <v>48</v>
      </c>
      <c r="L392" t="s">
        <v>116</v>
      </c>
      <c r="M392">
        <v>1</v>
      </c>
      <c r="N392">
        <v>120</v>
      </c>
      <c r="O392">
        <v>10</v>
      </c>
      <c r="P392">
        <v>108</v>
      </c>
      <c r="Q392">
        <v>25.52</v>
      </c>
      <c r="R392" t="s">
        <v>41</v>
      </c>
      <c r="S392" t="s">
        <v>51</v>
      </c>
      <c r="T392" t="s">
        <v>117</v>
      </c>
    </row>
    <row r="393" spans="1:20" x14ac:dyDescent="0.35">
      <c r="A393" t="s">
        <v>1035</v>
      </c>
      <c r="B393" t="s">
        <v>54</v>
      </c>
      <c r="C393" t="s">
        <v>653</v>
      </c>
      <c r="D393" t="s">
        <v>338</v>
      </c>
      <c r="E393" t="s">
        <v>37</v>
      </c>
      <c r="F393">
        <v>31</v>
      </c>
      <c r="G393" t="s">
        <v>38</v>
      </c>
      <c r="H393" t="s">
        <v>39</v>
      </c>
      <c r="I393" t="s">
        <v>26</v>
      </c>
      <c r="J393" t="s">
        <v>27</v>
      </c>
      <c r="K393" t="s">
        <v>28</v>
      </c>
      <c r="L393" t="s">
        <v>140</v>
      </c>
      <c r="M393">
        <v>2</v>
      </c>
      <c r="N393">
        <v>65000</v>
      </c>
      <c r="O393">
        <v>0</v>
      </c>
      <c r="P393">
        <v>130000</v>
      </c>
      <c r="Q393">
        <v>31257.51</v>
      </c>
      <c r="R393" t="s">
        <v>41</v>
      </c>
      <c r="S393" t="s">
        <v>51</v>
      </c>
      <c r="T393" t="s">
        <v>93</v>
      </c>
    </row>
    <row r="394" spans="1:20" x14ac:dyDescent="0.35">
      <c r="A394" t="s">
        <v>1036</v>
      </c>
      <c r="B394" t="s">
        <v>134</v>
      </c>
      <c r="C394" t="s">
        <v>124</v>
      </c>
      <c r="D394" t="s">
        <v>903</v>
      </c>
      <c r="E394" t="s">
        <v>23</v>
      </c>
      <c r="F394">
        <v>56</v>
      </c>
      <c r="G394" t="s">
        <v>98</v>
      </c>
      <c r="H394" t="s">
        <v>99</v>
      </c>
      <c r="I394" t="s">
        <v>100</v>
      </c>
      <c r="J394" t="s">
        <v>47</v>
      </c>
      <c r="K394" t="s">
        <v>48</v>
      </c>
      <c r="L394" t="s">
        <v>49</v>
      </c>
      <c r="M394">
        <v>2</v>
      </c>
      <c r="N394">
        <v>150</v>
      </c>
      <c r="O394">
        <v>0</v>
      </c>
      <c r="P394">
        <v>300</v>
      </c>
      <c r="Q394">
        <v>62.7</v>
      </c>
      <c r="R394" t="s">
        <v>50</v>
      </c>
      <c r="S394" t="s">
        <v>51</v>
      </c>
      <c r="T394" t="s">
        <v>117</v>
      </c>
    </row>
    <row r="395" spans="1:20" x14ac:dyDescent="0.35">
      <c r="A395" t="s">
        <v>1037</v>
      </c>
      <c r="B395" t="s">
        <v>1038</v>
      </c>
      <c r="C395" t="s">
        <v>609</v>
      </c>
      <c r="D395" t="s">
        <v>637</v>
      </c>
      <c r="E395" t="s">
        <v>23</v>
      </c>
      <c r="F395">
        <v>49</v>
      </c>
      <c r="G395" t="s">
        <v>46</v>
      </c>
      <c r="H395" t="s">
        <v>25</v>
      </c>
      <c r="I395" t="s">
        <v>26</v>
      </c>
      <c r="J395" t="s">
        <v>27</v>
      </c>
      <c r="K395" t="s">
        <v>28</v>
      </c>
      <c r="L395" t="s">
        <v>40</v>
      </c>
      <c r="M395">
        <v>5</v>
      </c>
      <c r="N395">
        <v>2500</v>
      </c>
      <c r="O395">
        <v>0</v>
      </c>
      <c r="P395">
        <v>12500</v>
      </c>
      <c r="Q395">
        <v>3296.28</v>
      </c>
      <c r="R395" t="s">
        <v>59</v>
      </c>
      <c r="S395" t="s">
        <v>51</v>
      </c>
      <c r="T395" t="s">
        <v>93</v>
      </c>
    </row>
    <row r="396" spans="1:20" x14ac:dyDescent="0.35">
      <c r="A396" t="s">
        <v>1039</v>
      </c>
      <c r="B396" t="s">
        <v>1040</v>
      </c>
      <c r="C396" t="s">
        <v>1041</v>
      </c>
      <c r="D396" t="s">
        <v>257</v>
      </c>
      <c r="E396" t="s">
        <v>37</v>
      </c>
      <c r="F396">
        <v>26</v>
      </c>
      <c r="G396" t="s">
        <v>114</v>
      </c>
      <c r="H396" t="s">
        <v>115</v>
      </c>
      <c r="I396" t="s">
        <v>88</v>
      </c>
      <c r="J396" t="s">
        <v>78</v>
      </c>
      <c r="K396" t="s">
        <v>79</v>
      </c>
      <c r="L396" t="s">
        <v>156</v>
      </c>
      <c r="M396">
        <v>5</v>
      </c>
      <c r="N396">
        <v>800</v>
      </c>
      <c r="O396">
        <v>5</v>
      </c>
      <c r="P396">
        <v>3800</v>
      </c>
      <c r="Q396">
        <v>305.43</v>
      </c>
      <c r="R396" t="s">
        <v>81</v>
      </c>
      <c r="S396" t="s">
        <v>51</v>
      </c>
      <c r="T396" t="s">
        <v>65</v>
      </c>
    </row>
    <row r="397" spans="1:20" x14ac:dyDescent="0.35">
      <c r="A397" t="s">
        <v>1042</v>
      </c>
      <c r="B397" t="s">
        <v>999</v>
      </c>
      <c r="C397" t="s">
        <v>754</v>
      </c>
      <c r="D397" t="s">
        <v>433</v>
      </c>
      <c r="E397" t="s">
        <v>37</v>
      </c>
      <c r="F397">
        <v>59</v>
      </c>
      <c r="G397" t="s">
        <v>114</v>
      </c>
      <c r="H397" t="s">
        <v>115</v>
      </c>
      <c r="I397" t="s">
        <v>88</v>
      </c>
      <c r="J397" t="s">
        <v>27</v>
      </c>
      <c r="K397" t="s">
        <v>28</v>
      </c>
      <c r="L397" t="s">
        <v>140</v>
      </c>
      <c r="M397">
        <v>5</v>
      </c>
      <c r="N397">
        <v>65000</v>
      </c>
      <c r="O397">
        <v>5</v>
      </c>
      <c r="P397">
        <v>308750</v>
      </c>
      <c r="Q397">
        <v>51055.360000000001</v>
      </c>
      <c r="R397" t="s">
        <v>81</v>
      </c>
      <c r="S397" t="s">
        <v>51</v>
      </c>
      <c r="T397" t="s">
        <v>93</v>
      </c>
    </row>
    <row r="398" spans="1:20" x14ac:dyDescent="0.35">
      <c r="A398" t="s">
        <v>1043</v>
      </c>
      <c r="B398" t="s">
        <v>346</v>
      </c>
      <c r="C398" t="s">
        <v>405</v>
      </c>
      <c r="D398" t="s">
        <v>295</v>
      </c>
      <c r="E398" t="s">
        <v>37</v>
      </c>
      <c r="F398">
        <v>28</v>
      </c>
      <c r="G398" t="s">
        <v>86</v>
      </c>
      <c r="H398" t="s">
        <v>87</v>
      </c>
      <c r="I398" t="s">
        <v>88</v>
      </c>
      <c r="J398" t="s">
        <v>89</v>
      </c>
      <c r="K398" t="s">
        <v>90</v>
      </c>
      <c r="L398" t="s">
        <v>128</v>
      </c>
      <c r="M398">
        <v>5</v>
      </c>
      <c r="N398">
        <v>7000</v>
      </c>
      <c r="O398">
        <v>15</v>
      </c>
      <c r="P398">
        <v>29750</v>
      </c>
      <c r="Q398">
        <v>8306.52</v>
      </c>
      <c r="R398" t="s">
        <v>50</v>
      </c>
      <c r="S398" t="s">
        <v>51</v>
      </c>
      <c r="T398" t="s">
        <v>52</v>
      </c>
    </row>
    <row r="399" spans="1:20" x14ac:dyDescent="0.35">
      <c r="A399" t="s">
        <v>1044</v>
      </c>
      <c r="B399" t="s">
        <v>1045</v>
      </c>
      <c r="C399" t="s">
        <v>368</v>
      </c>
      <c r="D399" t="s">
        <v>64</v>
      </c>
      <c r="E399" t="s">
        <v>23</v>
      </c>
      <c r="F399">
        <v>24</v>
      </c>
      <c r="G399" t="s">
        <v>38</v>
      </c>
      <c r="H399" t="s">
        <v>39</v>
      </c>
      <c r="I399" t="s">
        <v>26</v>
      </c>
      <c r="J399" t="s">
        <v>47</v>
      </c>
      <c r="K399" t="s">
        <v>48</v>
      </c>
      <c r="L399" t="s">
        <v>49</v>
      </c>
      <c r="M399">
        <v>5</v>
      </c>
      <c r="N399">
        <v>150</v>
      </c>
      <c r="O399">
        <v>10</v>
      </c>
      <c r="P399">
        <v>675</v>
      </c>
      <c r="Q399">
        <v>188.48</v>
      </c>
      <c r="R399" t="s">
        <v>41</v>
      </c>
      <c r="S399" t="s">
        <v>51</v>
      </c>
      <c r="T399" t="s">
        <v>32</v>
      </c>
    </row>
    <row r="400" spans="1:20" x14ac:dyDescent="0.35">
      <c r="A400" t="s">
        <v>1046</v>
      </c>
      <c r="B400" t="s">
        <v>1013</v>
      </c>
      <c r="C400" t="s">
        <v>388</v>
      </c>
      <c r="D400" t="s">
        <v>113</v>
      </c>
      <c r="E400" t="s">
        <v>37</v>
      </c>
      <c r="F400">
        <v>23</v>
      </c>
      <c r="G400" t="s">
        <v>57</v>
      </c>
      <c r="H400" t="s">
        <v>57</v>
      </c>
      <c r="I400" t="s">
        <v>58</v>
      </c>
      <c r="J400" t="s">
        <v>89</v>
      </c>
      <c r="K400" t="s">
        <v>90</v>
      </c>
      <c r="L400" t="s">
        <v>128</v>
      </c>
      <c r="M400">
        <v>1</v>
      </c>
      <c r="N400">
        <v>7000</v>
      </c>
      <c r="O400">
        <v>5</v>
      </c>
      <c r="P400">
        <v>6650</v>
      </c>
      <c r="Q400">
        <v>1002.92</v>
      </c>
      <c r="R400" t="s">
        <v>81</v>
      </c>
      <c r="S400" t="s">
        <v>31</v>
      </c>
      <c r="T400" t="s">
        <v>60</v>
      </c>
    </row>
    <row r="401" spans="1:20" x14ac:dyDescent="0.35">
      <c r="A401" t="s">
        <v>1047</v>
      </c>
      <c r="B401" t="s">
        <v>1048</v>
      </c>
      <c r="C401" t="s">
        <v>1049</v>
      </c>
      <c r="D401" t="s">
        <v>97</v>
      </c>
      <c r="E401" t="s">
        <v>23</v>
      </c>
      <c r="F401">
        <v>34</v>
      </c>
      <c r="G401" t="s">
        <v>57</v>
      </c>
      <c r="H401" t="s">
        <v>57</v>
      </c>
      <c r="I401" t="s">
        <v>58</v>
      </c>
      <c r="J401" t="s">
        <v>78</v>
      </c>
      <c r="K401" t="s">
        <v>79</v>
      </c>
      <c r="L401" t="s">
        <v>101</v>
      </c>
      <c r="M401">
        <v>2</v>
      </c>
      <c r="N401">
        <v>3500</v>
      </c>
      <c r="O401">
        <v>15</v>
      </c>
      <c r="P401">
        <v>5950</v>
      </c>
      <c r="Q401">
        <v>1524.56</v>
      </c>
      <c r="R401" t="s">
        <v>59</v>
      </c>
      <c r="S401" t="s">
        <v>92</v>
      </c>
      <c r="T401" t="s">
        <v>93</v>
      </c>
    </row>
    <row r="402" spans="1:20" x14ac:dyDescent="0.35">
      <c r="A402" t="s">
        <v>1050</v>
      </c>
      <c r="B402" t="s">
        <v>856</v>
      </c>
      <c r="C402" t="s">
        <v>388</v>
      </c>
      <c r="D402" t="s">
        <v>589</v>
      </c>
      <c r="E402" t="s">
        <v>23</v>
      </c>
      <c r="F402">
        <v>41</v>
      </c>
      <c r="G402" t="s">
        <v>86</v>
      </c>
      <c r="H402" t="s">
        <v>87</v>
      </c>
      <c r="I402" t="s">
        <v>88</v>
      </c>
      <c r="J402" t="s">
        <v>27</v>
      </c>
      <c r="K402" t="s">
        <v>28</v>
      </c>
      <c r="L402" t="s">
        <v>73</v>
      </c>
      <c r="M402">
        <v>4</v>
      </c>
      <c r="N402">
        <v>25000</v>
      </c>
      <c r="O402">
        <v>5</v>
      </c>
      <c r="P402">
        <v>95000</v>
      </c>
      <c r="Q402">
        <v>19062.57</v>
      </c>
      <c r="R402" t="s">
        <v>50</v>
      </c>
      <c r="S402" t="s">
        <v>92</v>
      </c>
      <c r="T402" t="s">
        <v>32</v>
      </c>
    </row>
    <row r="403" spans="1:20" x14ac:dyDescent="0.35">
      <c r="A403" t="s">
        <v>1051</v>
      </c>
      <c r="B403" t="s">
        <v>1031</v>
      </c>
      <c r="C403" t="s">
        <v>274</v>
      </c>
      <c r="D403" t="s">
        <v>903</v>
      </c>
      <c r="E403" t="s">
        <v>37</v>
      </c>
      <c r="F403">
        <v>27</v>
      </c>
      <c r="G403" t="s">
        <v>126</v>
      </c>
      <c r="H403" t="s">
        <v>127</v>
      </c>
      <c r="I403" t="s">
        <v>88</v>
      </c>
      <c r="J403" t="s">
        <v>78</v>
      </c>
      <c r="K403" t="s">
        <v>79</v>
      </c>
      <c r="L403" t="s">
        <v>101</v>
      </c>
      <c r="M403">
        <v>3</v>
      </c>
      <c r="N403">
        <v>3500</v>
      </c>
      <c r="O403">
        <v>10</v>
      </c>
      <c r="P403">
        <v>9450</v>
      </c>
      <c r="Q403">
        <v>1836.85</v>
      </c>
      <c r="R403" t="s">
        <v>30</v>
      </c>
      <c r="S403" t="s">
        <v>51</v>
      </c>
      <c r="T403" t="s">
        <v>117</v>
      </c>
    </row>
    <row r="404" spans="1:20" x14ac:dyDescent="0.35">
      <c r="A404" t="s">
        <v>1052</v>
      </c>
      <c r="B404" t="s">
        <v>350</v>
      </c>
      <c r="C404" t="s">
        <v>606</v>
      </c>
      <c r="D404" t="s">
        <v>511</v>
      </c>
      <c r="E404" t="s">
        <v>37</v>
      </c>
      <c r="F404">
        <v>32</v>
      </c>
      <c r="G404" t="s">
        <v>86</v>
      </c>
      <c r="H404" t="s">
        <v>87</v>
      </c>
      <c r="I404" t="s">
        <v>88</v>
      </c>
      <c r="J404" t="s">
        <v>78</v>
      </c>
      <c r="K404" t="s">
        <v>79</v>
      </c>
      <c r="L404" t="s">
        <v>80</v>
      </c>
      <c r="M404">
        <v>5</v>
      </c>
      <c r="N404">
        <v>1800</v>
      </c>
      <c r="O404">
        <v>10</v>
      </c>
      <c r="P404">
        <v>8100</v>
      </c>
      <c r="Q404">
        <v>2062.9499999999998</v>
      </c>
      <c r="R404" t="s">
        <v>59</v>
      </c>
      <c r="S404" t="s">
        <v>51</v>
      </c>
      <c r="T404" t="s">
        <v>52</v>
      </c>
    </row>
    <row r="405" spans="1:20" x14ac:dyDescent="0.35">
      <c r="A405" t="s">
        <v>1053</v>
      </c>
      <c r="B405" t="s">
        <v>1054</v>
      </c>
      <c r="C405" t="s">
        <v>594</v>
      </c>
      <c r="D405" t="s">
        <v>1055</v>
      </c>
      <c r="E405" t="s">
        <v>37</v>
      </c>
      <c r="F405">
        <v>21</v>
      </c>
      <c r="G405" t="s">
        <v>126</v>
      </c>
      <c r="H405" t="s">
        <v>127</v>
      </c>
      <c r="I405" t="s">
        <v>88</v>
      </c>
      <c r="J405" t="s">
        <v>27</v>
      </c>
      <c r="K405" t="s">
        <v>28</v>
      </c>
      <c r="L405" t="s">
        <v>140</v>
      </c>
      <c r="M405">
        <v>4</v>
      </c>
      <c r="N405">
        <v>65000</v>
      </c>
      <c r="O405">
        <v>5</v>
      </c>
      <c r="P405">
        <v>247000</v>
      </c>
      <c r="Q405">
        <v>26230.45</v>
      </c>
      <c r="R405" t="s">
        <v>41</v>
      </c>
      <c r="S405" t="s">
        <v>51</v>
      </c>
      <c r="T405" t="s">
        <v>32</v>
      </c>
    </row>
    <row r="406" spans="1:20" x14ac:dyDescent="0.35">
      <c r="A406" t="s">
        <v>1056</v>
      </c>
      <c r="B406" t="s">
        <v>843</v>
      </c>
      <c r="C406" t="s">
        <v>812</v>
      </c>
      <c r="D406" t="s">
        <v>874</v>
      </c>
      <c r="E406" t="s">
        <v>23</v>
      </c>
      <c r="F406">
        <v>45</v>
      </c>
      <c r="G406" t="s">
        <v>98</v>
      </c>
      <c r="H406" t="s">
        <v>99</v>
      </c>
      <c r="I406" t="s">
        <v>100</v>
      </c>
      <c r="J406" t="s">
        <v>47</v>
      </c>
      <c r="K406" t="s">
        <v>48</v>
      </c>
      <c r="L406" t="s">
        <v>215</v>
      </c>
      <c r="M406">
        <v>5</v>
      </c>
      <c r="N406">
        <v>450</v>
      </c>
      <c r="O406">
        <v>0</v>
      </c>
      <c r="P406">
        <v>2250</v>
      </c>
      <c r="Q406">
        <v>398.03</v>
      </c>
      <c r="R406" t="s">
        <v>81</v>
      </c>
      <c r="S406" t="s">
        <v>92</v>
      </c>
      <c r="T406" t="s">
        <v>60</v>
      </c>
    </row>
    <row r="407" spans="1:20" x14ac:dyDescent="0.35">
      <c r="A407" t="s">
        <v>1057</v>
      </c>
      <c r="B407" t="s">
        <v>698</v>
      </c>
      <c r="C407" t="s">
        <v>218</v>
      </c>
      <c r="D407" t="s">
        <v>965</v>
      </c>
      <c r="E407" t="s">
        <v>37</v>
      </c>
      <c r="F407">
        <v>57</v>
      </c>
      <c r="G407" t="s">
        <v>126</v>
      </c>
      <c r="H407" t="s">
        <v>127</v>
      </c>
      <c r="I407" t="s">
        <v>88</v>
      </c>
      <c r="J407" t="s">
        <v>89</v>
      </c>
      <c r="K407" t="s">
        <v>90</v>
      </c>
      <c r="L407" t="s">
        <v>242</v>
      </c>
      <c r="M407">
        <v>3</v>
      </c>
      <c r="N407">
        <v>6000</v>
      </c>
      <c r="O407">
        <v>5</v>
      </c>
      <c r="P407">
        <v>17100</v>
      </c>
      <c r="Q407">
        <v>2756.84</v>
      </c>
      <c r="R407" t="s">
        <v>41</v>
      </c>
      <c r="S407" t="s">
        <v>51</v>
      </c>
      <c r="T407" t="s">
        <v>65</v>
      </c>
    </row>
    <row r="408" spans="1:20" x14ac:dyDescent="0.35">
      <c r="A408" t="s">
        <v>1058</v>
      </c>
      <c r="B408" t="s">
        <v>1059</v>
      </c>
      <c r="C408" t="s">
        <v>1060</v>
      </c>
      <c r="D408" t="s">
        <v>483</v>
      </c>
      <c r="E408" t="s">
        <v>37</v>
      </c>
      <c r="F408">
        <v>43</v>
      </c>
      <c r="G408" t="s">
        <v>126</v>
      </c>
      <c r="H408" t="s">
        <v>127</v>
      </c>
      <c r="I408" t="s">
        <v>88</v>
      </c>
      <c r="J408" t="s">
        <v>89</v>
      </c>
      <c r="K408" t="s">
        <v>90</v>
      </c>
      <c r="L408" t="s">
        <v>91</v>
      </c>
      <c r="M408">
        <v>2</v>
      </c>
      <c r="N408">
        <v>9000</v>
      </c>
      <c r="O408">
        <v>5</v>
      </c>
      <c r="P408">
        <v>17100</v>
      </c>
      <c r="Q408">
        <v>4087.93</v>
      </c>
      <c r="R408" t="s">
        <v>41</v>
      </c>
      <c r="S408" t="s">
        <v>31</v>
      </c>
      <c r="T408" t="s">
        <v>117</v>
      </c>
    </row>
    <row r="409" spans="1:20" x14ac:dyDescent="0.35">
      <c r="A409" t="s">
        <v>1061</v>
      </c>
      <c r="B409" t="s">
        <v>181</v>
      </c>
      <c r="C409" t="s">
        <v>35</v>
      </c>
      <c r="D409" t="s">
        <v>1062</v>
      </c>
      <c r="E409" t="s">
        <v>37</v>
      </c>
      <c r="F409">
        <v>44</v>
      </c>
      <c r="G409" t="s">
        <v>57</v>
      </c>
      <c r="H409" t="s">
        <v>57</v>
      </c>
      <c r="I409" t="s">
        <v>58</v>
      </c>
      <c r="J409" t="s">
        <v>89</v>
      </c>
      <c r="K409" t="s">
        <v>90</v>
      </c>
      <c r="L409" t="s">
        <v>91</v>
      </c>
      <c r="M409">
        <v>1</v>
      </c>
      <c r="N409">
        <v>9000</v>
      </c>
      <c r="O409">
        <v>10</v>
      </c>
      <c r="P409">
        <v>8100</v>
      </c>
      <c r="Q409">
        <v>960.64</v>
      </c>
      <c r="R409" t="s">
        <v>30</v>
      </c>
      <c r="S409" t="s">
        <v>51</v>
      </c>
      <c r="T409" t="s">
        <v>52</v>
      </c>
    </row>
    <row r="410" spans="1:20" x14ac:dyDescent="0.35">
      <c r="A410" t="s">
        <v>1063</v>
      </c>
      <c r="B410" t="s">
        <v>999</v>
      </c>
      <c r="C410" t="s">
        <v>351</v>
      </c>
      <c r="D410" t="s">
        <v>201</v>
      </c>
      <c r="E410" t="s">
        <v>37</v>
      </c>
      <c r="F410">
        <v>57</v>
      </c>
      <c r="G410" t="s">
        <v>46</v>
      </c>
      <c r="H410" t="s">
        <v>25</v>
      </c>
      <c r="I410" t="s">
        <v>26</v>
      </c>
      <c r="J410" t="s">
        <v>89</v>
      </c>
      <c r="K410" t="s">
        <v>90</v>
      </c>
      <c r="L410" t="s">
        <v>128</v>
      </c>
      <c r="M410">
        <v>2</v>
      </c>
      <c r="N410">
        <v>7000</v>
      </c>
      <c r="O410">
        <v>20</v>
      </c>
      <c r="P410">
        <v>11200</v>
      </c>
      <c r="Q410">
        <v>2613.88</v>
      </c>
      <c r="R410" t="s">
        <v>59</v>
      </c>
      <c r="S410" t="s">
        <v>51</v>
      </c>
      <c r="T410" t="s">
        <v>93</v>
      </c>
    </row>
    <row r="411" spans="1:20" x14ac:dyDescent="0.35">
      <c r="A411" t="s">
        <v>1064</v>
      </c>
      <c r="B411" t="s">
        <v>119</v>
      </c>
      <c r="C411" t="s">
        <v>233</v>
      </c>
      <c r="D411" t="s">
        <v>193</v>
      </c>
      <c r="E411" t="s">
        <v>23</v>
      </c>
      <c r="F411">
        <v>24</v>
      </c>
      <c r="G411" t="s">
        <v>38</v>
      </c>
      <c r="H411" t="s">
        <v>39</v>
      </c>
      <c r="I411" t="s">
        <v>26</v>
      </c>
      <c r="J411" t="s">
        <v>78</v>
      </c>
      <c r="K411" t="s">
        <v>79</v>
      </c>
      <c r="L411" t="s">
        <v>156</v>
      </c>
      <c r="M411">
        <v>2</v>
      </c>
      <c r="N411">
        <v>800</v>
      </c>
      <c r="O411">
        <v>5</v>
      </c>
      <c r="P411">
        <v>1520</v>
      </c>
      <c r="Q411">
        <v>285.52</v>
      </c>
      <c r="R411" t="s">
        <v>41</v>
      </c>
      <c r="S411" t="s">
        <v>51</v>
      </c>
      <c r="T411" t="s">
        <v>93</v>
      </c>
    </row>
    <row r="412" spans="1:20" x14ac:dyDescent="0.35">
      <c r="A412" t="s">
        <v>1065</v>
      </c>
      <c r="B412" t="s">
        <v>1066</v>
      </c>
      <c r="C412" t="s">
        <v>150</v>
      </c>
      <c r="D412" t="s">
        <v>77</v>
      </c>
      <c r="E412" t="s">
        <v>23</v>
      </c>
      <c r="F412">
        <v>34</v>
      </c>
      <c r="G412" t="s">
        <v>24</v>
      </c>
      <c r="H412" t="s">
        <v>25</v>
      </c>
      <c r="I412" t="s">
        <v>26</v>
      </c>
      <c r="J412" t="s">
        <v>27</v>
      </c>
      <c r="K412" t="s">
        <v>28</v>
      </c>
      <c r="L412" t="s">
        <v>29</v>
      </c>
      <c r="M412">
        <v>4</v>
      </c>
      <c r="N412">
        <v>12000</v>
      </c>
      <c r="O412">
        <v>20</v>
      </c>
      <c r="P412">
        <v>38400</v>
      </c>
      <c r="Q412">
        <v>4752.6400000000003</v>
      </c>
      <c r="R412" t="s">
        <v>59</v>
      </c>
      <c r="S412" t="s">
        <v>51</v>
      </c>
      <c r="T412" t="s">
        <v>32</v>
      </c>
    </row>
    <row r="413" spans="1:20" x14ac:dyDescent="0.35">
      <c r="A413" t="s">
        <v>1067</v>
      </c>
      <c r="B413" t="s">
        <v>732</v>
      </c>
      <c r="C413" t="s">
        <v>1068</v>
      </c>
      <c r="D413" t="s">
        <v>976</v>
      </c>
      <c r="E413" t="s">
        <v>23</v>
      </c>
      <c r="F413">
        <v>58</v>
      </c>
      <c r="G413" t="s">
        <v>126</v>
      </c>
      <c r="H413" t="s">
        <v>127</v>
      </c>
      <c r="I413" t="s">
        <v>88</v>
      </c>
      <c r="J413" t="s">
        <v>89</v>
      </c>
      <c r="K413" t="s">
        <v>90</v>
      </c>
      <c r="L413" t="s">
        <v>91</v>
      </c>
      <c r="M413">
        <v>2</v>
      </c>
      <c r="N413">
        <v>9000</v>
      </c>
      <c r="O413">
        <v>0</v>
      </c>
      <c r="P413">
        <v>18000</v>
      </c>
      <c r="Q413">
        <v>2404.84</v>
      </c>
      <c r="R413" t="s">
        <v>41</v>
      </c>
      <c r="S413" t="s">
        <v>51</v>
      </c>
      <c r="T413" t="s">
        <v>117</v>
      </c>
    </row>
    <row r="414" spans="1:20" x14ac:dyDescent="0.35">
      <c r="A414" t="s">
        <v>1069</v>
      </c>
      <c r="B414" t="s">
        <v>1070</v>
      </c>
      <c r="C414" t="s">
        <v>229</v>
      </c>
      <c r="D414" t="s">
        <v>324</v>
      </c>
      <c r="E414" t="s">
        <v>37</v>
      </c>
      <c r="F414">
        <v>30</v>
      </c>
      <c r="G414" t="s">
        <v>38</v>
      </c>
      <c r="H414" t="s">
        <v>39</v>
      </c>
      <c r="I414" t="s">
        <v>26</v>
      </c>
      <c r="J414" t="s">
        <v>89</v>
      </c>
      <c r="K414" t="s">
        <v>90</v>
      </c>
      <c r="L414" t="s">
        <v>242</v>
      </c>
      <c r="M414">
        <v>1</v>
      </c>
      <c r="N414">
        <v>6000</v>
      </c>
      <c r="O414">
        <v>10</v>
      </c>
      <c r="P414">
        <v>5400</v>
      </c>
      <c r="Q414">
        <v>1236.18</v>
      </c>
      <c r="R414" t="s">
        <v>50</v>
      </c>
      <c r="S414" t="s">
        <v>51</v>
      </c>
      <c r="T414" t="s">
        <v>52</v>
      </c>
    </row>
    <row r="415" spans="1:20" x14ac:dyDescent="0.35">
      <c r="A415" t="s">
        <v>1071</v>
      </c>
      <c r="B415" t="s">
        <v>1072</v>
      </c>
      <c r="C415" t="s">
        <v>505</v>
      </c>
      <c r="D415" t="s">
        <v>151</v>
      </c>
      <c r="E415" t="s">
        <v>23</v>
      </c>
      <c r="F415">
        <v>30</v>
      </c>
      <c r="G415" t="s">
        <v>57</v>
      </c>
      <c r="H415" t="s">
        <v>57</v>
      </c>
      <c r="I415" t="s">
        <v>58</v>
      </c>
      <c r="J415" t="s">
        <v>27</v>
      </c>
      <c r="K415" t="s">
        <v>28</v>
      </c>
      <c r="L415" t="s">
        <v>140</v>
      </c>
      <c r="M415">
        <v>2</v>
      </c>
      <c r="N415">
        <v>65000</v>
      </c>
      <c r="O415">
        <v>15</v>
      </c>
      <c r="P415">
        <v>110500</v>
      </c>
      <c r="Q415">
        <v>17831.169999999998</v>
      </c>
      <c r="R415" t="s">
        <v>41</v>
      </c>
      <c r="S415" t="s">
        <v>31</v>
      </c>
      <c r="T415" t="s">
        <v>93</v>
      </c>
    </row>
    <row r="416" spans="1:20" x14ac:dyDescent="0.35">
      <c r="A416" t="s">
        <v>1073</v>
      </c>
      <c r="B416" t="s">
        <v>1074</v>
      </c>
      <c r="C416" t="s">
        <v>331</v>
      </c>
      <c r="D416" t="s">
        <v>175</v>
      </c>
      <c r="E416" t="s">
        <v>37</v>
      </c>
      <c r="F416">
        <v>27</v>
      </c>
      <c r="G416" t="s">
        <v>98</v>
      </c>
      <c r="H416" t="s">
        <v>99</v>
      </c>
      <c r="I416" t="s">
        <v>100</v>
      </c>
      <c r="J416" t="s">
        <v>47</v>
      </c>
      <c r="K416" t="s">
        <v>48</v>
      </c>
      <c r="L416" t="s">
        <v>49</v>
      </c>
      <c r="M416">
        <v>2</v>
      </c>
      <c r="N416">
        <v>150</v>
      </c>
      <c r="O416">
        <v>10</v>
      </c>
      <c r="P416">
        <v>270</v>
      </c>
      <c r="Q416">
        <v>75.17</v>
      </c>
      <c r="R416" t="s">
        <v>41</v>
      </c>
      <c r="S416" t="s">
        <v>92</v>
      </c>
      <c r="T416" t="s">
        <v>65</v>
      </c>
    </row>
    <row r="417" spans="1:20" x14ac:dyDescent="0.35">
      <c r="A417" t="s">
        <v>1075</v>
      </c>
      <c r="B417" t="s">
        <v>938</v>
      </c>
      <c r="C417" t="s">
        <v>609</v>
      </c>
      <c r="D417" t="s">
        <v>1076</v>
      </c>
      <c r="E417" t="s">
        <v>23</v>
      </c>
      <c r="F417">
        <v>47</v>
      </c>
      <c r="G417" t="s">
        <v>98</v>
      </c>
      <c r="H417" t="s">
        <v>99</v>
      </c>
      <c r="I417" t="s">
        <v>100</v>
      </c>
      <c r="J417" t="s">
        <v>78</v>
      </c>
      <c r="K417" t="s">
        <v>79</v>
      </c>
      <c r="L417" t="s">
        <v>80</v>
      </c>
      <c r="M417">
        <v>2</v>
      </c>
      <c r="N417">
        <v>1800</v>
      </c>
      <c r="O417">
        <v>0</v>
      </c>
      <c r="P417">
        <v>3600</v>
      </c>
      <c r="Q417">
        <v>836.25</v>
      </c>
      <c r="R417" t="s">
        <v>50</v>
      </c>
      <c r="S417" t="s">
        <v>51</v>
      </c>
      <c r="T417" t="s">
        <v>60</v>
      </c>
    </row>
    <row r="418" spans="1:20" x14ac:dyDescent="0.35">
      <c r="A418" t="s">
        <v>1077</v>
      </c>
      <c r="B418" t="s">
        <v>984</v>
      </c>
      <c r="C418" t="s">
        <v>1068</v>
      </c>
      <c r="D418" t="s">
        <v>358</v>
      </c>
      <c r="E418" t="s">
        <v>37</v>
      </c>
      <c r="F418">
        <v>38</v>
      </c>
      <c r="G418" t="s">
        <v>98</v>
      </c>
      <c r="H418" t="s">
        <v>99</v>
      </c>
      <c r="I418" t="s">
        <v>100</v>
      </c>
      <c r="J418" t="s">
        <v>27</v>
      </c>
      <c r="K418" t="s">
        <v>28</v>
      </c>
      <c r="L418" t="s">
        <v>40</v>
      </c>
      <c r="M418">
        <v>2</v>
      </c>
      <c r="N418">
        <v>2500</v>
      </c>
      <c r="O418">
        <v>0</v>
      </c>
      <c r="P418">
        <v>5000</v>
      </c>
      <c r="Q418">
        <v>1069.8699999999999</v>
      </c>
      <c r="R418" t="s">
        <v>59</v>
      </c>
      <c r="S418" t="s">
        <v>51</v>
      </c>
      <c r="T418" t="s">
        <v>32</v>
      </c>
    </row>
    <row r="419" spans="1:20" x14ac:dyDescent="0.35">
      <c r="A419" t="s">
        <v>1078</v>
      </c>
      <c r="B419" t="s">
        <v>872</v>
      </c>
      <c r="C419" t="s">
        <v>1049</v>
      </c>
      <c r="D419" t="s">
        <v>1079</v>
      </c>
      <c r="E419" t="s">
        <v>37</v>
      </c>
      <c r="F419">
        <v>28</v>
      </c>
      <c r="G419" t="s">
        <v>114</v>
      </c>
      <c r="H419" t="s">
        <v>115</v>
      </c>
      <c r="I419" t="s">
        <v>88</v>
      </c>
      <c r="J419" t="s">
        <v>89</v>
      </c>
      <c r="K419" t="s">
        <v>90</v>
      </c>
      <c r="L419" t="s">
        <v>128</v>
      </c>
      <c r="M419">
        <v>1</v>
      </c>
      <c r="N419">
        <v>7000</v>
      </c>
      <c r="O419">
        <v>15</v>
      </c>
      <c r="P419">
        <v>5950</v>
      </c>
      <c r="Q419">
        <v>797.85</v>
      </c>
      <c r="R419" t="s">
        <v>30</v>
      </c>
      <c r="S419" t="s">
        <v>31</v>
      </c>
      <c r="T419" t="s">
        <v>32</v>
      </c>
    </row>
    <row r="420" spans="1:20" x14ac:dyDescent="0.35">
      <c r="A420" t="s">
        <v>1080</v>
      </c>
      <c r="B420" t="s">
        <v>888</v>
      </c>
      <c r="C420" t="s">
        <v>143</v>
      </c>
      <c r="D420" t="s">
        <v>393</v>
      </c>
      <c r="E420" t="s">
        <v>23</v>
      </c>
      <c r="F420">
        <v>48</v>
      </c>
      <c r="G420" t="s">
        <v>86</v>
      </c>
      <c r="H420" t="s">
        <v>87</v>
      </c>
      <c r="I420" t="s">
        <v>88</v>
      </c>
      <c r="J420" t="s">
        <v>47</v>
      </c>
      <c r="K420" t="s">
        <v>48</v>
      </c>
      <c r="L420" t="s">
        <v>116</v>
      </c>
      <c r="M420">
        <v>1</v>
      </c>
      <c r="N420">
        <v>120</v>
      </c>
      <c r="O420">
        <v>15</v>
      </c>
      <c r="P420">
        <v>102</v>
      </c>
      <c r="Q420">
        <v>14.55</v>
      </c>
      <c r="R420" t="s">
        <v>41</v>
      </c>
      <c r="S420" t="s">
        <v>51</v>
      </c>
      <c r="T420" t="s">
        <v>60</v>
      </c>
    </row>
    <row r="421" spans="1:20" x14ac:dyDescent="0.35">
      <c r="A421" t="s">
        <v>1081</v>
      </c>
      <c r="B421" t="s">
        <v>1082</v>
      </c>
      <c r="C421" t="s">
        <v>135</v>
      </c>
      <c r="D421" t="s">
        <v>441</v>
      </c>
      <c r="E421" t="s">
        <v>23</v>
      </c>
      <c r="F421">
        <v>55</v>
      </c>
      <c r="G421" t="s">
        <v>126</v>
      </c>
      <c r="H421" t="s">
        <v>127</v>
      </c>
      <c r="I421" t="s">
        <v>88</v>
      </c>
      <c r="J421" t="s">
        <v>27</v>
      </c>
      <c r="K421" t="s">
        <v>28</v>
      </c>
      <c r="L421" t="s">
        <v>73</v>
      </c>
      <c r="M421">
        <v>4</v>
      </c>
      <c r="N421">
        <v>25000</v>
      </c>
      <c r="O421">
        <v>10</v>
      </c>
      <c r="P421">
        <v>90000</v>
      </c>
      <c r="Q421">
        <v>15897.63</v>
      </c>
      <c r="R421" t="s">
        <v>59</v>
      </c>
      <c r="S421" t="s">
        <v>51</v>
      </c>
      <c r="T421" t="s">
        <v>117</v>
      </c>
    </row>
    <row r="422" spans="1:20" x14ac:dyDescent="0.35">
      <c r="A422" t="s">
        <v>1083</v>
      </c>
      <c r="B422" t="s">
        <v>662</v>
      </c>
      <c r="C422" t="s">
        <v>274</v>
      </c>
      <c r="D422" t="s">
        <v>164</v>
      </c>
      <c r="E422" t="s">
        <v>23</v>
      </c>
      <c r="F422">
        <v>32</v>
      </c>
      <c r="G422" t="s">
        <v>38</v>
      </c>
      <c r="H422" t="s">
        <v>39</v>
      </c>
      <c r="I422" t="s">
        <v>26</v>
      </c>
      <c r="J422" t="s">
        <v>47</v>
      </c>
      <c r="K422" t="s">
        <v>48</v>
      </c>
      <c r="L422" t="s">
        <v>49</v>
      </c>
      <c r="M422">
        <v>2</v>
      </c>
      <c r="N422">
        <v>150</v>
      </c>
      <c r="O422">
        <v>5</v>
      </c>
      <c r="P422">
        <v>285</v>
      </c>
      <c r="Q422">
        <v>61.44</v>
      </c>
      <c r="R422" t="s">
        <v>59</v>
      </c>
      <c r="S422" t="s">
        <v>92</v>
      </c>
      <c r="T422" t="s">
        <v>93</v>
      </c>
    </row>
    <row r="423" spans="1:20" x14ac:dyDescent="0.35">
      <c r="A423" t="s">
        <v>1084</v>
      </c>
      <c r="B423" t="s">
        <v>395</v>
      </c>
      <c r="C423" t="s">
        <v>975</v>
      </c>
      <c r="D423" t="s">
        <v>64</v>
      </c>
      <c r="E423" t="s">
        <v>37</v>
      </c>
      <c r="F423">
        <v>46</v>
      </c>
      <c r="G423" t="s">
        <v>24</v>
      </c>
      <c r="H423" t="s">
        <v>25</v>
      </c>
      <c r="I423" t="s">
        <v>26</v>
      </c>
      <c r="J423" t="s">
        <v>47</v>
      </c>
      <c r="K423" t="s">
        <v>48</v>
      </c>
      <c r="L423" t="s">
        <v>49</v>
      </c>
      <c r="M423">
        <v>4</v>
      </c>
      <c r="N423">
        <v>150</v>
      </c>
      <c r="O423">
        <v>0</v>
      </c>
      <c r="P423">
        <v>600</v>
      </c>
      <c r="Q423">
        <v>122.03</v>
      </c>
      <c r="R423" t="s">
        <v>81</v>
      </c>
      <c r="S423" t="s">
        <v>31</v>
      </c>
      <c r="T423" t="s">
        <v>93</v>
      </c>
    </row>
    <row r="424" spans="1:20" x14ac:dyDescent="0.35">
      <c r="A424" t="s">
        <v>1085</v>
      </c>
      <c r="B424" t="s">
        <v>917</v>
      </c>
      <c r="C424" t="s">
        <v>320</v>
      </c>
      <c r="D424" t="s">
        <v>1055</v>
      </c>
      <c r="E424" t="s">
        <v>23</v>
      </c>
      <c r="F424">
        <v>20</v>
      </c>
      <c r="G424" t="s">
        <v>38</v>
      </c>
      <c r="H424" t="s">
        <v>39</v>
      </c>
      <c r="I424" t="s">
        <v>26</v>
      </c>
      <c r="J424" t="s">
        <v>47</v>
      </c>
      <c r="K424" t="s">
        <v>48</v>
      </c>
      <c r="L424" t="s">
        <v>116</v>
      </c>
      <c r="M424">
        <v>4</v>
      </c>
      <c r="N424">
        <v>120</v>
      </c>
      <c r="O424">
        <v>15</v>
      </c>
      <c r="P424">
        <v>408</v>
      </c>
      <c r="Q424">
        <v>108.99</v>
      </c>
      <c r="R424" t="s">
        <v>50</v>
      </c>
      <c r="S424" t="s">
        <v>92</v>
      </c>
      <c r="T424" t="s">
        <v>93</v>
      </c>
    </row>
    <row r="425" spans="1:20" x14ac:dyDescent="0.35">
      <c r="A425" t="s">
        <v>1086</v>
      </c>
      <c r="B425" t="s">
        <v>1087</v>
      </c>
      <c r="C425" t="s">
        <v>200</v>
      </c>
      <c r="D425" t="s">
        <v>633</v>
      </c>
      <c r="E425" t="s">
        <v>23</v>
      </c>
      <c r="F425">
        <v>44</v>
      </c>
      <c r="G425" t="s">
        <v>38</v>
      </c>
      <c r="H425" t="s">
        <v>39</v>
      </c>
      <c r="I425" t="s">
        <v>26</v>
      </c>
      <c r="J425" t="s">
        <v>89</v>
      </c>
      <c r="K425" t="s">
        <v>90</v>
      </c>
      <c r="L425" t="s">
        <v>128</v>
      </c>
      <c r="M425">
        <v>1</v>
      </c>
      <c r="N425">
        <v>7000</v>
      </c>
      <c r="O425">
        <v>0</v>
      </c>
      <c r="P425">
        <v>7000</v>
      </c>
      <c r="Q425">
        <v>1745.59</v>
      </c>
      <c r="R425" t="s">
        <v>30</v>
      </c>
      <c r="S425" t="s">
        <v>51</v>
      </c>
      <c r="T425" t="s">
        <v>60</v>
      </c>
    </row>
    <row r="426" spans="1:20" x14ac:dyDescent="0.35">
      <c r="A426" t="s">
        <v>1088</v>
      </c>
      <c r="B426" t="s">
        <v>1089</v>
      </c>
      <c r="C426" t="s">
        <v>554</v>
      </c>
      <c r="D426" t="s">
        <v>271</v>
      </c>
      <c r="E426" t="s">
        <v>37</v>
      </c>
      <c r="F426">
        <v>52</v>
      </c>
      <c r="G426" t="s">
        <v>114</v>
      </c>
      <c r="H426" t="s">
        <v>115</v>
      </c>
      <c r="I426" t="s">
        <v>88</v>
      </c>
      <c r="J426" t="s">
        <v>89</v>
      </c>
      <c r="K426" t="s">
        <v>90</v>
      </c>
      <c r="L426" t="s">
        <v>91</v>
      </c>
      <c r="M426">
        <v>1</v>
      </c>
      <c r="N426">
        <v>9000</v>
      </c>
      <c r="O426">
        <v>20</v>
      </c>
      <c r="P426">
        <v>7200</v>
      </c>
      <c r="Q426">
        <v>857.42</v>
      </c>
      <c r="R426" t="s">
        <v>50</v>
      </c>
      <c r="S426" t="s">
        <v>92</v>
      </c>
      <c r="T426" t="s">
        <v>60</v>
      </c>
    </row>
    <row r="427" spans="1:20" x14ac:dyDescent="0.35">
      <c r="A427" t="s">
        <v>1090</v>
      </c>
      <c r="B427" t="s">
        <v>1091</v>
      </c>
      <c r="C427" t="s">
        <v>405</v>
      </c>
      <c r="D427" t="s">
        <v>257</v>
      </c>
      <c r="E427" t="s">
        <v>23</v>
      </c>
      <c r="F427">
        <v>48</v>
      </c>
      <c r="G427" t="s">
        <v>46</v>
      </c>
      <c r="H427" t="s">
        <v>25</v>
      </c>
      <c r="I427" t="s">
        <v>26</v>
      </c>
      <c r="J427" t="s">
        <v>89</v>
      </c>
      <c r="K427" t="s">
        <v>90</v>
      </c>
      <c r="L427" t="s">
        <v>91</v>
      </c>
      <c r="M427">
        <v>1</v>
      </c>
      <c r="N427">
        <v>9000</v>
      </c>
      <c r="O427">
        <v>0</v>
      </c>
      <c r="P427">
        <v>9000</v>
      </c>
      <c r="Q427">
        <v>2091.2399999999998</v>
      </c>
      <c r="R427" t="s">
        <v>50</v>
      </c>
      <c r="S427" t="s">
        <v>51</v>
      </c>
      <c r="T427" t="s">
        <v>60</v>
      </c>
    </row>
    <row r="428" spans="1:20" x14ac:dyDescent="0.35">
      <c r="A428" t="s">
        <v>1092</v>
      </c>
      <c r="B428" t="s">
        <v>277</v>
      </c>
      <c r="C428" t="s">
        <v>171</v>
      </c>
      <c r="D428" t="s">
        <v>637</v>
      </c>
      <c r="E428" t="s">
        <v>23</v>
      </c>
      <c r="F428">
        <v>35</v>
      </c>
      <c r="G428" t="s">
        <v>86</v>
      </c>
      <c r="H428" t="s">
        <v>87</v>
      </c>
      <c r="I428" t="s">
        <v>88</v>
      </c>
      <c r="J428" t="s">
        <v>78</v>
      </c>
      <c r="K428" t="s">
        <v>79</v>
      </c>
      <c r="L428" t="s">
        <v>156</v>
      </c>
      <c r="M428">
        <v>2</v>
      </c>
      <c r="N428">
        <v>800</v>
      </c>
      <c r="O428">
        <v>5</v>
      </c>
      <c r="P428">
        <v>1520</v>
      </c>
      <c r="Q428">
        <v>298.58</v>
      </c>
      <c r="R428" t="s">
        <v>81</v>
      </c>
      <c r="S428" t="s">
        <v>51</v>
      </c>
      <c r="T428" t="s">
        <v>65</v>
      </c>
    </row>
    <row r="429" spans="1:20" x14ac:dyDescent="0.35">
      <c r="A429" t="s">
        <v>1093</v>
      </c>
      <c r="B429" t="s">
        <v>412</v>
      </c>
      <c r="C429" t="s">
        <v>108</v>
      </c>
      <c r="D429" t="s">
        <v>883</v>
      </c>
      <c r="E429" t="s">
        <v>23</v>
      </c>
      <c r="F429">
        <v>25</v>
      </c>
      <c r="G429" t="s">
        <v>57</v>
      </c>
      <c r="H429" t="s">
        <v>57</v>
      </c>
      <c r="I429" t="s">
        <v>58</v>
      </c>
      <c r="J429" t="s">
        <v>89</v>
      </c>
      <c r="K429" t="s">
        <v>90</v>
      </c>
      <c r="L429" t="s">
        <v>91</v>
      </c>
      <c r="M429">
        <v>2</v>
      </c>
      <c r="N429">
        <v>9000</v>
      </c>
      <c r="O429">
        <v>15</v>
      </c>
      <c r="P429">
        <v>15300</v>
      </c>
      <c r="Q429">
        <v>1613.98</v>
      </c>
      <c r="R429" t="s">
        <v>81</v>
      </c>
      <c r="S429" t="s">
        <v>51</v>
      </c>
      <c r="T429" t="s">
        <v>32</v>
      </c>
    </row>
    <row r="430" spans="1:20" x14ac:dyDescent="0.35">
      <c r="A430" t="s">
        <v>1094</v>
      </c>
      <c r="B430" t="s">
        <v>287</v>
      </c>
      <c r="C430" t="s">
        <v>1095</v>
      </c>
      <c r="D430" t="s">
        <v>982</v>
      </c>
      <c r="E430" t="s">
        <v>37</v>
      </c>
      <c r="F430">
        <v>30</v>
      </c>
      <c r="G430" t="s">
        <v>98</v>
      </c>
      <c r="H430" t="s">
        <v>99</v>
      </c>
      <c r="I430" t="s">
        <v>100</v>
      </c>
      <c r="J430" t="s">
        <v>47</v>
      </c>
      <c r="K430" t="s">
        <v>48</v>
      </c>
      <c r="L430" t="s">
        <v>215</v>
      </c>
      <c r="M430">
        <v>3</v>
      </c>
      <c r="N430">
        <v>450</v>
      </c>
      <c r="O430">
        <v>20</v>
      </c>
      <c r="P430">
        <v>1080</v>
      </c>
      <c r="Q430">
        <v>202.01</v>
      </c>
      <c r="R430" t="s">
        <v>81</v>
      </c>
      <c r="S430" t="s">
        <v>51</v>
      </c>
      <c r="T430" t="s">
        <v>60</v>
      </c>
    </row>
    <row r="431" spans="1:20" x14ac:dyDescent="0.35">
      <c r="A431" t="s">
        <v>1096</v>
      </c>
      <c r="B431" t="s">
        <v>402</v>
      </c>
      <c r="C431" t="s">
        <v>392</v>
      </c>
      <c r="D431" t="s">
        <v>972</v>
      </c>
      <c r="E431" t="s">
        <v>23</v>
      </c>
      <c r="F431">
        <v>21</v>
      </c>
      <c r="G431" t="s">
        <v>86</v>
      </c>
      <c r="H431" t="s">
        <v>87</v>
      </c>
      <c r="I431" t="s">
        <v>88</v>
      </c>
      <c r="J431" t="s">
        <v>27</v>
      </c>
      <c r="K431" t="s">
        <v>28</v>
      </c>
      <c r="L431" t="s">
        <v>29</v>
      </c>
      <c r="M431">
        <v>4</v>
      </c>
      <c r="N431">
        <v>12000</v>
      </c>
      <c r="O431">
        <v>10</v>
      </c>
      <c r="P431">
        <v>43200</v>
      </c>
      <c r="Q431">
        <v>3942.78</v>
      </c>
      <c r="R431" t="s">
        <v>81</v>
      </c>
      <c r="S431" t="s">
        <v>51</v>
      </c>
      <c r="T431" t="s">
        <v>32</v>
      </c>
    </row>
    <row r="432" spans="1:20" x14ac:dyDescent="0.35">
      <c r="A432" t="s">
        <v>1097</v>
      </c>
      <c r="B432" t="s">
        <v>1098</v>
      </c>
      <c r="C432" t="s">
        <v>252</v>
      </c>
      <c r="D432" t="s">
        <v>374</v>
      </c>
      <c r="E432" t="s">
        <v>37</v>
      </c>
      <c r="F432">
        <v>60</v>
      </c>
      <c r="G432" t="s">
        <v>57</v>
      </c>
      <c r="H432" t="s">
        <v>57</v>
      </c>
      <c r="I432" t="s">
        <v>58</v>
      </c>
      <c r="J432" t="s">
        <v>47</v>
      </c>
      <c r="K432" t="s">
        <v>48</v>
      </c>
      <c r="L432" t="s">
        <v>215</v>
      </c>
      <c r="M432">
        <v>2</v>
      </c>
      <c r="N432">
        <v>450</v>
      </c>
      <c r="O432">
        <v>20</v>
      </c>
      <c r="P432">
        <v>720</v>
      </c>
      <c r="Q432">
        <v>175.09</v>
      </c>
      <c r="R432" t="s">
        <v>30</v>
      </c>
      <c r="S432" t="s">
        <v>31</v>
      </c>
      <c r="T432" t="s">
        <v>32</v>
      </c>
    </row>
    <row r="433" spans="1:20" x14ac:dyDescent="0.35">
      <c r="A433" t="s">
        <v>1099</v>
      </c>
      <c r="B433" t="s">
        <v>1100</v>
      </c>
      <c r="C433" t="s">
        <v>21</v>
      </c>
      <c r="D433" t="s">
        <v>257</v>
      </c>
      <c r="E433" t="s">
        <v>23</v>
      </c>
      <c r="F433">
        <v>55</v>
      </c>
      <c r="G433" t="s">
        <v>46</v>
      </c>
      <c r="H433" t="s">
        <v>25</v>
      </c>
      <c r="I433" t="s">
        <v>26</v>
      </c>
      <c r="J433" t="s">
        <v>78</v>
      </c>
      <c r="K433" t="s">
        <v>79</v>
      </c>
      <c r="L433" t="s">
        <v>156</v>
      </c>
      <c r="M433">
        <v>1</v>
      </c>
      <c r="N433">
        <v>800</v>
      </c>
      <c r="O433">
        <v>20</v>
      </c>
      <c r="P433">
        <v>640</v>
      </c>
      <c r="Q433">
        <v>103.89</v>
      </c>
      <c r="R433" t="s">
        <v>30</v>
      </c>
      <c r="S433" t="s">
        <v>92</v>
      </c>
      <c r="T433" t="s">
        <v>93</v>
      </c>
    </row>
    <row r="434" spans="1:20" x14ac:dyDescent="0.35">
      <c r="A434" t="s">
        <v>1101</v>
      </c>
      <c r="B434" t="s">
        <v>1102</v>
      </c>
      <c r="C434" t="s">
        <v>1103</v>
      </c>
      <c r="D434" t="s">
        <v>1104</v>
      </c>
      <c r="E434" t="s">
        <v>37</v>
      </c>
      <c r="F434">
        <v>59</v>
      </c>
      <c r="G434" t="s">
        <v>114</v>
      </c>
      <c r="H434" t="s">
        <v>115</v>
      </c>
      <c r="I434" t="s">
        <v>88</v>
      </c>
      <c r="J434" t="s">
        <v>47</v>
      </c>
      <c r="K434" t="s">
        <v>48</v>
      </c>
      <c r="L434" t="s">
        <v>215</v>
      </c>
      <c r="M434">
        <v>4</v>
      </c>
      <c r="N434">
        <v>450</v>
      </c>
      <c r="O434">
        <v>20</v>
      </c>
      <c r="P434">
        <v>1440</v>
      </c>
      <c r="Q434">
        <v>325.18</v>
      </c>
      <c r="R434" t="s">
        <v>81</v>
      </c>
      <c r="S434" t="s">
        <v>92</v>
      </c>
      <c r="T434" t="s">
        <v>93</v>
      </c>
    </row>
    <row r="435" spans="1:20" x14ac:dyDescent="0.35">
      <c r="A435" t="s">
        <v>1105</v>
      </c>
      <c r="B435" t="s">
        <v>888</v>
      </c>
      <c r="C435" t="s">
        <v>606</v>
      </c>
      <c r="D435" t="s">
        <v>433</v>
      </c>
      <c r="E435" t="s">
        <v>37</v>
      </c>
      <c r="F435">
        <v>28</v>
      </c>
      <c r="G435" t="s">
        <v>114</v>
      </c>
      <c r="H435" t="s">
        <v>115</v>
      </c>
      <c r="I435" t="s">
        <v>88</v>
      </c>
      <c r="J435" t="s">
        <v>78</v>
      </c>
      <c r="K435" t="s">
        <v>79</v>
      </c>
      <c r="L435" t="s">
        <v>80</v>
      </c>
      <c r="M435">
        <v>4</v>
      </c>
      <c r="N435">
        <v>1800</v>
      </c>
      <c r="O435">
        <v>20</v>
      </c>
      <c r="P435">
        <v>5760</v>
      </c>
      <c r="Q435">
        <v>1176.8900000000001</v>
      </c>
      <c r="R435" t="s">
        <v>30</v>
      </c>
      <c r="S435" t="s">
        <v>31</v>
      </c>
      <c r="T435" t="s">
        <v>65</v>
      </c>
    </row>
    <row r="436" spans="1:20" x14ac:dyDescent="0.35">
      <c r="A436" t="s">
        <v>1106</v>
      </c>
      <c r="B436" t="s">
        <v>936</v>
      </c>
      <c r="C436" t="s">
        <v>146</v>
      </c>
      <c r="D436" t="s">
        <v>136</v>
      </c>
      <c r="E436" t="s">
        <v>23</v>
      </c>
      <c r="F436">
        <v>55</v>
      </c>
      <c r="G436" t="s">
        <v>46</v>
      </c>
      <c r="H436" t="s">
        <v>25</v>
      </c>
      <c r="I436" t="s">
        <v>26</v>
      </c>
      <c r="J436" t="s">
        <v>78</v>
      </c>
      <c r="K436" t="s">
        <v>79</v>
      </c>
      <c r="L436" t="s">
        <v>156</v>
      </c>
      <c r="M436">
        <v>5</v>
      </c>
      <c r="N436">
        <v>800</v>
      </c>
      <c r="O436">
        <v>15</v>
      </c>
      <c r="P436">
        <v>3400</v>
      </c>
      <c r="Q436">
        <v>536.61</v>
      </c>
      <c r="R436" t="s">
        <v>59</v>
      </c>
      <c r="S436" t="s">
        <v>51</v>
      </c>
      <c r="T436" t="s">
        <v>52</v>
      </c>
    </row>
    <row r="437" spans="1:20" x14ac:dyDescent="0.35">
      <c r="A437" t="s">
        <v>1107</v>
      </c>
      <c r="B437" t="s">
        <v>95</v>
      </c>
      <c r="C437" t="s">
        <v>474</v>
      </c>
      <c r="D437" t="s">
        <v>453</v>
      </c>
      <c r="E437" t="s">
        <v>37</v>
      </c>
      <c r="F437">
        <v>39</v>
      </c>
      <c r="G437" t="s">
        <v>126</v>
      </c>
      <c r="H437" t="s">
        <v>127</v>
      </c>
      <c r="I437" t="s">
        <v>88</v>
      </c>
      <c r="J437" t="s">
        <v>78</v>
      </c>
      <c r="K437" t="s">
        <v>79</v>
      </c>
      <c r="L437" t="s">
        <v>101</v>
      </c>
      <c r="M437">
        <v>3</v>
      </c>
      <c r="N437">
        <v>3500</v>
      </c>
      <c r="O437">
        <v>15</v>
      </c>
      <c r="P437">
        <v>8925</v>
      </c>
      <c r="Q437">
        <v>727.02</v>
      </c>
      <c r="R437" t="s">
        <v>50</v>
      </c>
      <c r="S437" t="s">
        <v>92</v>
      </c>
      <c r="T437" t="s">
        <v>52</v>
      </c>
    </row>
    <row r="438" spans="1:20" x14ac:dyDescent="0.35">
      <c r="A438" t="s">
        <v>1108</v>
      </c>
      <c r="B438" t="s">
        <v>1109</v>
      </c>
      <c r="C438" t="s">
        <v>143</v>
      </c>
      <c r="D438" t="s">
        <v>877</v>
      </c>
      <c r="E438" t="s">
        <v>23</v>
      </c>
      <c r="F438">
        <v>46</v>
      </c>
      <c r="G438" t="s">
        <v>38</v>
      </c>
      <c r="H438" t="s">
        <v>39</v>
      </c>
      <c r="I438" t="s">
        <v>26</v>
      </c>
      <c r="J438" t="s">
        <v>47</v>
      </c>
      <c r="K438" t="s">
        <v>48</v>
      </c>
      <c r="L438" t="s">
        <v>116</v>
      </c>
      <c r="M438">
        <v>4</v>
      </c>
      <c r="N438">
        <v>120</v>
      </c>
      <c r="O438">
        <v>15</v>
      </c>
      <c r="P438">
        <v>408</v>
      </c>
      <c r="Q438">
        <v>35.28</v>
      </c>
      <c r="R438" t="s">
        <v>59</v>
      </c>
      <c r="S438" t="s">
        <v>51</v>
      </c>
      <c r="T438" t="s">
        <v>65</v>
      </c>
    </row>
    <row r="439" spans="1:20" x14ac:dyDescent="0.35">
      <c r="A439" t="s">
        <v>1110</v>
      </c>
      <c r="B439" t="s">
        <v>443</v>
      </c>
      <c r="C439" t="s">
        <v>1049</v>
      </c>
      <c r="D439" t="s">
        <v>186</v>
      </c>
      <c r="E439" t="s">
        <v>37</v>
      </c>
      <c r="F439">
        <v>53</v>
      </c>
      <c r="G439" t="s">
        <v>38</v>
      </c>
      <c r="H439" t="s">
        <v>39</v>
      </c>
      <c r="I439" t="s">
        <v>26</v>
      </c>
      <c r="J439" t="s">
        <v>47</v>
      </c>
      <c r="K439" t="s">
        <v>48</v>
      </c>
      <c r="L439" t="s">
        <v>116</v>
      </c>
      <c r="M439">
        <v>5</v>
      </c>
      <c r="N439">
        <v>120</v>
      </c>
      <c r="O439">
        <v>20</v>
      </c>
      <c r="P439">
        <v>480</v>
      </c>
      <c r="Q439">
        <v>86.46</v>
      </c>
      <c r="R439" t="s">
        <v>30</v>
      </c>
      <c r="S439" t="s">
        <v>92</v>
      </c>
      <c r="T439" t="s">
        <v>32</v>
      </c>
    </row>
    <row r="440" spans="1:20" x14ac:dyDescent="0.35">
      <c r="A440" t="s">
        <v>1111</v>
      </c>
      <c r="B440" t="s">
        <v>1112</v>
      </c>
      <c r="C440" t="s">
        <v>343</v>
      </c>
      <c r="D440" t="s">
        <v>424</v>
      </c>
      <c r="E440" t="s">
        <v>37</v>
      </c>
      <c r="F440">
        <v>33</v>
      </c>
      <c r="G440" t="s">
        <v>98</v>
      </c>
      <c r="H440" t="s">
        <v>99</v>
      </c>
      <c r="I440" t="s">
        <v>100</v>
      </c>
      <c r="J440" t="s">
        <v>27</v>
      </c>
      <c r="K440" t="s">
        <v>28</v>
      </c>
      <c r="L440" t="s">
        <v>29</v>
      </c>
      <c r="M440">
        <v>4</v>
      </c>
      <c r="N440">
        <v>12000</v>
      </c>
      <c r="O440">
        <v>5</v>
      </c>
      <c r="P440">
        <v>45600</v>
      </c>
      <c r="Q440">
        <v>10475.620000000001</v>
      </c>
      <c r="R440" t="s">
        <v>30</v>
      </c>
      <c r="S440" t="s">
        <v>92</v>
      </c>
      <c r="T440" t="s">
        <v>60</v>
      </c>
    </row>
    <row r="441" spans="1:20" x14ac:dyDescent="0.35">
      <c r="A441" t="s">
        <v>1113</v>
      </c>
      <c r="B441" t="s">
        <v>783</v>
      </c>
      <c r="C441" t="s">
        <v>229</v>
      </c>
      <c r="D441" t="s">
        <v>295</v>
      </c>
      <c r="E441" t="s">
        <v>23</v>
      </c>
      <c r="F441">
        <v>49</v>
      </c>
      <c r="G441" t="s">
        <v>46</v>
      </c>
      <c r="H441" t="s">
        <v>25</v>
      </c>
      <c r="I441" t="s">
        <v>26</v>
      </c>
      <c r="J441" t="s">
        <v>89</v>
      </c>
      <c r="K441" t="s">
        <v>90</v>
      </c>
      <c r="L441" t="s">
        <v>91</v>
      </c>
      <c r="M441">
        <v>1</v>
      </c>
      <c r="N441">
        <v>9000</v>
      </c>
      <c r="O441">
        <v>10</v>
      </c>
      <c r="P441">
        <v>8100</v>
      </c>
      <c r="Q441">
        <v>763.34</v>
      </c>
      <c r="R441" t="s">
        <v>81</v>
      </c>
      <c r="S441" t="s">
        <v>92</v>
      </c>
      <c r="T441" t="s">
        <v>32</v>
      </c>
    </row>
    <row r="442" spans="1:20" x14ac:dyDescent="0.35">
      <c r="A442" t="s">
        <v>1114</v>
      </c>
      <c r="B442" t="s">
        <v>1115</v>
      </c>
      <c r="C442" t="s">
        <v>252</v>
      </c>
      <c r="D442" t="s">
        <v>271</v>
      </c>
      <c r="E442" t="s">
        <v>23</v>
      </c>
      <c r="F442">
        <v>34</v>
      </c>
      <c r="G442" t="s">
        <v>98</v>
      </c>
      <c r="H442" t="s">
        <v>99</v>
      </c>
      <c r="I442" t="s">
        <v>100</v>
      </c>
      <c r="J442" t="s">
        <v>27</v>
      </c>
      <c r="K442" t="s">
        <v>28</v>
      </c>
      <c r="L442" t="s">
        <v>140</v>
      </c>
      <c r="M442">
        <v>5</v>
      </c>
      <c r="N442">
        <v>65000</v>
      </c>
      <c r="O442">
        <v>0</v>
      </c>
      <c r="P442">
        <v>325000</v>
      </c>
      <c r="Q442">
        <v>63010.66</v>
      </c>
      <c r="R442" t="s">
        <v>30</v>
      </c>
      <c r="S442" t="s">
        <v>92</v>
      </c>
      <c r="T442" t="s">
        <v>32</v>
      </c>
    </row>
    <row r="443" spans="1:20" x14ac:dyDescent="0.35">
      <c r="A443" t="s">
        <v>1116</v>
      </c>
      <c r="B443" t="s">
        <v>1117</v>
      </c>
      <c r="C443" t="s">
        <v>494</v>
      </c>
      <c r="D443" t="s">
        <v>241</v>
      </c>
      <c r="E443" t="s">
        <v>23</v>
      </c>
      <c r="F443">
        <v>56</v>
      </c>
      <c r="G443" t="s">
        <v>86</v>
      </c>
      <c r="H443" t="s">
        <v>87</v>
      </c>
      <c r="I443" t="s">
        <v>88</v>
      </c>
      <c r="J443" t="s">
        <v>89</v>
      </c>
      <c r="K443" t="s">
        <v>90</v>
      </c>
      <c r="L443" t="s">
        <v>91</v>
      </c>
      <c r="M443">
        <v>5</v>
      </c>
      <c r="N443">
        <v>9000</v>
      </c>
      <c r="O443">
        <v>15</v>
      </c>
      <c r="P443">
        <v>38250</v>
      </c>
      <c r="Q443">
        <v>6761.9</v>
      </c>
      <c r="R443" t="s">
        <v>41</v>
      </c>
      <c r="S443" t="s">
        <v>51</v>
      </c>
      <c r="T443" t="s">
        <v>60</v>
      </c>
    </row>
    <row r="444" spans="1:20" x14ac:dyDescent="0.35">
      <c r="A444" t="s">
        <v>1118</v>
      </c>
      <c r="B444" t="s">
        <v>652</v>
      </c>
      <c r="C444" t="s">
        <v>958</v>
      </c>
      <c r="D444" t="s">
        <v>205</v>
      </c>
      <c r="E444" t="s">
        <v>23</v>
      </c>
      <c r="F444">
        <v>55</v>
      </c>
      <c r="G444" t="s">
        <v>46</v>
      </c>
      <c r="H444" t="s">
        <v>25</v>
      </c>
      <c r="I444" t="s">
        <v>26</v>
      </c>
      <c r="J444" t="s">
        <v>47</v>
      </c>
      <c r="K444" t="s">
        <v>48</v>
      </c>
      <c r="L444" t="s">
        <v>215</v>
      </c>
      <c r="M444">
        <v>1</v>
      </c>
      <c r="N444">
        <v>450</v>
      </c>
      <c r="O444">
        <v>15</v>
      </c>
      <c r="P444">
        <v>382.5</v>
      </c>
      <c r="Q444">
        <v>99.43</v>
      </c>
      <c r="R444" t="s">
        <v>41</v>
      </c>
      <c r="S444" t="s">
        <v>51</v>
      </c>
      <c r="T444" t="s">
        <v>93</v>
      </c>
    </row>
    <row r="445" spans="1:20" x14ac:dyDescent="0.35">
      <c r="A445" t="s">
        <v>1119</v>
      </c>
      <c r="B445" t="s">
        <v>195</v>
      </c>
      <c r="C445" t="s">
        <v>958</v>
      </c>
      <c r="D445" t="s">
        <v>109</v>
      </c>
      <c r="E445" t="s">
        <v>37</v>
      </c>
      <c r="F445">
        <v>51</v>
      </c>
      <c r="G445" t="s">
        <v>57</v>
      </c>
      <c r="H445" t="s">
        <v>57</v>
      </c>
      <c r="I445" t="s">
        <v>58</v>
      </c>
      <c r="J445" t="s">
        <v>78</v>
      </c>
      <c r="K445" t="s">
        <v>79</v>
      </c>
      <c r="L445" t="s">
        <v>80</v>
      </c>
      <c r="M445">
        <v>1</v>
      </c>
      <c r="N445">
        <v>1800</v>
      </c>
      <c r="O445">
        <v>15</v>
      </c>
      <c r="P445">
        <v>1530</v>
      </c>
      <c r="Q445">
        <v>172.44</v>
      </c>
      <c r="R445" t="s">
        <v>81</v>
      </c>
      <c r="S445" t="s">
        <v>31</v>
      </c>
      <c r="T445" t="s">
        <v>65</v>
      </c>
    </row>
    <row r="446" spans="1:20" x14ac:dyDescent="0.35">
      <c r="A446" t="s">
        <v>1120</v>
      </c>
      <c r="B446" t="s">
        <v>199</v>
      </c>
      <c r="C446" t="s">
        <v>517</v>
      </c>
      <c r="D446" t="s">
        <v>437</v>
      </c>
      <c r="E446" t="s">
        <v>37</v>
      </c>
      <c r="F446">
        <v>50</v>
      </c>
      <c r="G446" t="s">
        <v>98</v>
      </c>
      <c r="H446" t="s">
        <v>99</v>
      </c>
      <c r="I446" t="s">
        <v>100</v>
      </c>
      <c r="J446" t="s">
        <v>89</v>
      </c>
      <c r="K446" t="s">
        <v>90</v>
      </c>
      <c r="L446" t="s">
        <v>242</v>
      </c>
      <c r="M446">
        <v>1</v>
      </c>
      <c r="N446">
        <v>6000</v>
      </c>
      <c r="O446">
        <v>0</v>
      </c>
      <c r="P446">
        <v>6000</v>
      </c>
      <c r="Q446">
        <v>1334.37</v>
      </c>
      <c r="R446" t="s">
        <v>30</v>
      </c>
      <c r="S446" t="s">
        <v>31</v>
      </c>
      <c r="T446" t="s">
        <v>60</v>
      </c>
    </row>
    <row r="447" spans="1:20" x14ac:dyDescent="0.35">
      <c r="A447" t="s">
        <v>1121</v>
      </c>
      <c r="B447" t="s">
        <v>1013</v>
      </c>
      <c r="C447" t="s">
        <v>214</v>
      </c>
      <c r="D447" t="s">
        <v>801</v>
      </c>
      <c r="E447" t="s">
        <v>23</v>
      </c>
      <c r="F447">
        <v>57</v>
      </c>
      <c r="G447" t="s">
        <v>86</v>
      </c>
      <c r="H447" t="s">
        <v>87</v>
      </c>
      <c r="I447" t="s">
        <v>88</v>
      </c>
      <c r="J447" t="s">
        <v>27</v>
      </c>
      <c r="K447" t="s">
        <v>28</v>
      </c>
      <c r="L447" t="s">
        <v>73</v>
      </c>
      <c r="M447">
        <v>4</v>
      </c>
      <c r="N447">
        <v>25000</v>
      </c>
      <c r="O447">
        <v>10</v>
      </c>
      <c r="P447">
        <v>90000</v>
      </c>
      <c r="Q447">
        <v>16616.53</v>
      </c>
      <c r="R447" t="s">
        <v>30</v>
      </c>
      <c r="S447" t="s">
        <v>51</v>
      </c>
      <c r="T447" t="s">
        <v>52</v>
      </c>
    </row>
    <row r="448" spans="1:20" x14ac:dyDescent="0.35">
      <c r="A448" t="s">
        <v>1122</v>
      </c>
      <c r="B448" t="s">
        <v>269</v>
      </c>
      <c r="C448" t="s">
        <v>270</v>
      </c>
      <c r="D448" t="s">
        <v>267</v>
      </c>
      <c r="E448" t="s">
        <v>23</v>
      </c>
      <c r="F448">
        <v>40</v>
      </c>
      <c r="G448" t="s">
        <v>24</v>
      </c>
      <c r="H448" t="s">
        <v>25</v>
      </c>
      <c r="I448" t="s">
        <v>26</v>
      </c>
      <c r="J448" t="s">
        <v>27</v>
      </c>
      <c r="K448" t="s">
        <v>28</v>
      </c>
      <c r="L448" t="s">
        <v>29</v>
      </c>
      <c r="M448">
        <v>2</v>
      </c>
      <c r="N448">
        <v>12000</v>
      </c>
      <c r="O448">
        <v>0</v>
      </c>
      <c r="P448">
        <v>24000</v>
      </c>
      <c r="Q448">
        <v>5880.3</v>
      </c>
      <c r="R448" t="s">
        <v>50</v>
      </c>
      <c r="S448" t="s">
        <v>51</v>
      </c>
      <c r="T448" t="s">
        <v>60</v>
      </c>
    </row>
    <row r="449" spans="1:20" x14ac:dyDescent="0.35">
      <c r="A449" t="s">
        <v>1123</v>
      </c>
      <c r="B449" t="s">
        <v>1124</v>
      </c>
      <c r="C449" t="s">
        <v>320</v>
      </c>
      <c r="D449" t="s">
        <v>358</v>
      </c>
      <c r="E449" t="s">
        <v>23</v>
      </c>
      <c r="F449">
        <v>57</v>
      </c>
      <c r="G449" t="s">
        <v>24</v>
      </c>
      <c r="H449" t="s">
        <v>25</v>
      </c>
      <c r="I449" t="s">
        <v>26</v>
      </c>
      <c r="J449" t="s">
        <v>27</v>
      </c>
      <c r="K449" t="s">
        <v>28</v>
      </c>
      <c r="L449" t="s">
        <v>29</v>
      </c>
      <c r="M449">
        <v>2</v>
      </c>
      <c r="N449">
        <v>12000</v>
      </c>
      <c r="O449">
        <v>10</v>
      </c>
      <c r="P449">
        <v>21600</v>
      </c>
      <c r="Q449">
        <v>3069.76</v>
      </c>
      <c r="R449" t="s">
        <v>30</v>
      </c>
      <c r="S449" t="s">
        <v>51</v>
      </c>
      <c r="T449" t="s">
        <v>32</v>
      </c>
    </row>
    <row r="450" spans="1:20" x14ac:dyDescent="0.35">
      <c r="A450" t="s">
        <v>1125</v>
      </c>
      <c r="B450" t="s">
        <v>1126</v>
      </c>
      <c r="C450" t="s">
        <v>35</v>
      </c>
      <c r="D450" t="s">
        <v>468</v>
      </c>
      <c r="E450" t="s">
        <v>23</v>
      </c>
      <c r="F450">
        <v>30</v>
      </c>
      <c r="G450" t="s">
        <v>98</v>
      </c>
      <c r="H450" t="s">
        <v>99</v>
      </c>
      <c r="I450" t="s">
        <v>100</v>
      </c>
      <c r="J450" t="s">
        <v>78</v>
      </c>
      <c r="K450" t="s">
        <v>79</v>
      </c>
      <c r="L450" t="s">
        <v>80</v>
      </c>
      <c r="M450">
        <v>5</v>
      </c>
      <c r="N450">
        <v>1800</v>
      </c>
      <c r="O450">
        <v>10</v>
      </c>
      <c r="P450">
        <v>8100</v>
      </c>
      <c r="Q450">
        <v>1917.07</v>
      </c>
      <c r="R450" t="s">
        <v>59</v>
      </c>
      <c r="S450" t="s">
        <v>51</v>
      </c>
      <c r="T450" t="s">
        <v>52</v>
      </c>
    </row>
    <row r="451" spans="1:20" x14ac:dyDescent="0.35">
      <c r="A451" t="s">
        <v>1127</v>
      </c>
      <c r="B451" t="s">
        <v>445</v>
      </c>
      <c r="C451" t="s">
        <v>68</v>
      </c>
      <c r="D451" t="s">
        <v>647</v>
      </c>
      <c r="E451" t="s">
        <v>37</v>
      </c>
      <c r="F451">
        <v>41</v>
      </c>
      <c r="G451" t="s">
        <v>57</v>
      </c>
      <c r="H451" t="s">
        <v>57</v>
      </c>
      <c r="I451" t="s">
        <v>58</v>
      </c>
      <c r="J451" t="s">
        <v>47</v>
      </c>
      <c r="K451" t="s">
        <v>48</v>
      </c>
      <c r="L451" t="s">
        <v>116</v>
      </c>
      <c r="M451">
        <v>5</v>
      </c>
      <c r="N451">
        <v>120</v>
      </c>
      <c r="O451">
        <v>10</v>
      </c>
      <c r="P451">
        <v>540</v>
      </c>
      <c r="Q451">
        <v>103.48</v>
      </c>
      <c r="R451" t="s">
        <v>41</v>
      </c>
      <c r="S451" t="s">
        <v>51</v>
      </c>
      <c r="T451" t="s">
        <v>93</v>
      </c>
    </row>
    <row r="452" spans="1:20" x14ac:dyDescent="0.35">
      <c r="A452" t="s">
        <v>1128</v>
      </c>
      <c r="B452" t="s">
        <v>1129</v>
      </c>
      <c r="C452" t="s">
        <v>554</v>
      </c>
      <c r="D452" t="s">
        <v>465</v>
      </c>
      <c r="E452" t="s">
        <v>23</v>
      </c>
      <c r="F452">
        <v>31</v>
      </c>
      <c r="G452" t="s">
        <v>86</v>
      </c>
      <c r="H452" t="s">
        <v>87</v>
      </c>
      <c r="I452" t="s">
        <v>88</v>
      </c>
      <c r="J452" t="s">
        <v>89</v>
      </c>
      <c r="K452" t="s">
        <v>90</v>
      </c>
      <c r="L452" t="s">
        <v>242</v>
      </c>
      <c r="M452">
        <v>2</v>
      </c>
      <c r="N452">
        <v>6000</v>
      </c>
      <c r="O452">
        <v>20</v>
      </c>
      <c r="P452">
        <v>9600</v>
      </c>
      <c r="Q452">
        <v>2070.64</v>
      </c>
      <c r="R452" t="s">
        <v>81</v>
      </c>
      <c r="S452" t="s">
        <v>51</v>
      </c>
      <c r="T452" t="s">
        <v>117</v>
      </c>
    </row>
    <row r="453" spans="1:20" x14ac:dyDescent="0.35">
      <c r="A453" t="s">
        <v>1130</v>
      </c>
      <c r="B453" t="s">
        <v>149</v>
      </c>
      <c r="C453" t="s">
        <v>494</v>
      </c>
      <c r="D453" t="s">
        <v>97</v>
      </c>
      <c r="E453" t="s">
        <v>23</v>
      </c>
      <c r="F453">
        <v>39</v>
      </c>
      <c r="G453" t="s">
        <v>86</v>
      </c>
      <c r="H453" t="s">
        <v>87</v>
      </c>
      <c r="I453" t="s">
        <v>88</v>
      </c>
      <c r="J453" t="s">
        <v>27</v>
      </c>
      <c r="K453" t="s">
        <v>28</v>
      </c>
      <c r="L453" t="s">
        <v>40</v>
      </c>
      <c r="M453">
        <v>5</v>
      </c>
      <c r="N453">
        <v>2500</v>
      </c>
      <c r="O453">
        <v>10</v>
      </c>
      <c r="P453">
        <v>11250</v>
      </c>
      <c r="Q453">
        <v>1666.43</v>
      </c>
      <c r="R453" t="s">
        <v>50</v>
      </c>
      <c r="S453" t="s">
        <v>51</v>
      </c>
      <c r="T453" t="s">
        <v>32</v>
      </c>
    </row>
    <row r="454" spans="1:20" x14ac:dyDescent="0.35">
      <c r="A454" t="s">
        <v>1131</v>
      </c>
      <c r="B454" t="s">
        <v>1132</v>
      </c>
      <c r="C454" t="s">
        <v>689</v>
      </c>
      <c r="D454" t="s">
        <v>457</v>
      </c>
      <c r="E454" t="s">
        <v>23</v>
      </c>
      <c r="F454">
        <v>35</v>
      </c>
      <c r="G454" t="s">
        <v>114</v>
      </c>
      <c r="H454" t="s">
        <v>115</v>
      </c>
      <c r="I454" t="s">
        <v>88</v>
      </c>
      <c r="J454" t="s">
        <v>78</v>
      </c>
      <c r="K454" t="s">
        <v>79</v>
      </c>
      <c r="L454" t="s">
        <v>156</v>
      </c>
      <c r="M454">
        <v>4</v>
      </c>
      <c r="N454">
        <v>800</v>
      </c>
      <c r="O454">
        <v>20</v>
      </c>
      <c r="P454">
        <v>2560</v>
      </c>
      <c r="Q454">
        <v>328.33</v>
      </c>
      <c r="R454" t="s">
        <v>81</v>
      </c>
      <c r="S454" t="s">
        <v>31</v>
      </c>
      <c r="T454" t="s">
        <v>117</v>
      </c>
    </row>
    <row r="455" spans="1:20" x14ac:dyDescent="0.35">
      <c r="A455" t="s">
        <v>1133</v>
      </c>
      <c r="B455" t="s">
        <v>1134</v>
      </c>
      <c r="C455" t="s">
        <v>704</v>
      </c>
      <c r="D455" t="s">
        <v>168</v>
      </c>
      <c r="E455" t="s">
        <v>23</v>
      </c>
      <c r="F455">
        <v>21</v>
      </c>
      <c r="G455" t="s">
        <v>46</v>
      </c>
      <c r="H455" t="s">
        <v>25</v>
      </c>
      <c r="I455" t="s">
        <v>26</v>
      </c>
      <c r="J455" t="s">
        <v>47</v>
      </c>
      <c r="K455" t="s">
        <v>48</v>
      </c>
      <c r="L455" t="s">
        <v>49</v>
      </c>
      <c r="M455">
        <v>5</v>
      </c>
      <c r="N455">
        <v>150</v>
      </c>
      <c r="O455">
        <v>0</v>
      </c>
      <c r="P455">
        <v>750</v>
      </c>
      <c r="Q455">
        <v>185.78</v>
      </c>
      <c r="R455" t="s">
        <v>50</v>
      </c>
      <c r="S455" t="s">
        <v>31</v>
      </c>
      <c r="T455" t="s">
        <v>32</v>
      </c>
    </row>
    <row r="456" spans="1:20" x14ac:dyDescent="0.35">
      <c r="A456" t="s">
        <v>1135</v>
      </c>
      <c r="B456" t="s">
        <v>1136</v>
      </c>
      <c r="C456" t="s">
        <v>274</v>
      </c>
      <c r="D456" t="s">
        <v>271</v>
      </c>
      <c r="E456" t="s">
        <v>23</v>
      </c>
      <c r="F456">
        <v>60</v>
      </c>
      <c r="G456" t="s">
        <v>114</v>
      </c>
      <c r="H456" t="s">
        <v>115</v>
      </c>
      <c r="I456" t="s">
        <v>88</v>
      </c>
      <c r="J456" t="s">
        <v>47</v>
      </c>
      <c r="K456" t="s">
        <v>48</v>
      </c>
      <c r="L456" t="s">
        <v>49</v>
      </c>
      <c r="M456">
        <v>3</v>
      </c>
      <c r="N456">
        <v>150</v>
      </c>
      <c r="O456">
        <v>15</v>
      </c>
      <c r="P456">
        <v>382.5</v>
      </c>
      <c r="Q456">
        <v>39.79</v>
      </c>
      <c r="R456" t="s">
        <v>81</v>
      </c>
      <c r="S456" t="s">
        <v>51</v>
      </c>
      <c r="T456" t="s">
        <v>93</v>
      </c>
    </row>
    <row r="457" spans="1:20" x14ac:dyDescent="0.35">
      <c r="A457" t="s">
        <v>1137</v>
      </c>
      <c r="B457" t="s">
        <v>888</v>
      </c>
      <c r="C457" t="s">
        <v>225</v>
      </c>
      <c r="D457" t="s">
        <v>410</v>
      </c>
      <c r="E457" t="s">
        <v>37</v>
      </c>
      <c r="F457">
        <v>47</v>
      </c>
      <c r="G457" t="s">
        <v>86</v>
      </c>
      <c r="H457" t="s">
        <v>87</v>
      </c>
      <c r="I457" t="s">
        <v>88</v>
      </c>
      <c r="J457" t="s">
        <v>89</v>
      </c>
      <c r="K457" t="s">
        <v>90</v>
      </c>
      <c r="L457" t="s">
        <v>128</v>
      </c>
      <c r="M457">
        <v>3</v>
      </c>
      <c r="N457">
        <v>7000</v>
      </c>
      <c r="O457">
        <v>15</v>
      </c>
      <c r="P457">
        <v>17850</v>
      </c>
      <c r="Q457">
        <v>2040.2</v>
      </c>
      <c r="R457" t="s">
        <v>30</v>
      </c>
      <c r="S457" t="s">
        <v>51</v>
      </c>
      <c r="T457" t="s">
        <v>93</v>
      </c>
    </row>
    <row r="458" spans="1:20" x14ac:dyDescent="0.35">
      <c r="A458" t="s">
        <v>1138</v>
      </c>
      <c r="B458" t="s">
        <v>849</v>
      </c>
      <c r="C458" t="s">
        <v>471</v>
      </c>
      <c r="D458" t="s">
        <v>151</v>
      </c>
      <c r="E458" t="s">
        <v>23</v>
      </c>
      <c r="F458">
        <v>55</v>
      </c>
      <c r="G458" t="s">
        <v>98</v>
      </c>
      <c r="H458" t="s">
        <v>99</v>
      </c>
      <c r="I458" t="s">
        <v>100</v>
      </c>
      <c r="J458" t="s">
        <v>47</v>
      </c>
      <c r="K458" t="s">
        <v>48</v>
      </c>
      <c r="L458" t="s">
        <v>49</v>
      </c>
      <c r="M458">
        <v>4</v>
      </c>
      <c r="N458">
        <v>150</v>
      </c>
      <c r="O458">
        <v>10</v>
      </c>
      <c r="P458">
        <v>540</v>
      </c>
      <c r="Q458">
        <v>149.91</v>
      </c>
      <c r="R458" t="s">
        <v>30</v>
      </c>
      <c r="S458" t="s">
        <v>51</v>
      </c>
      <c r="T458" t="s">
        <v>60</v>
      </c>
    </row>
    <row r="459" spans="1:20" x14ac:dyDescent="0.35">
      <c r="A459" t="s">
        <v>1139</v>
      </c>
      <c r="B459" t="s">
        <v>1140</v>
      </c>
      <c r="C459" t="s">
        <v>252</v>
      </c>
      <c r="D459" t="s">
        <v>421</v>
      </c>
      <c r="E459" t="s">
        <v>23</v>
      </c>
      <c r="F459">
        <v>36</v>
      </c>
      <c r="G459" t="s">
        <v>98</v>
      </c>
      <c r="H459" t="s">
        <v>99</v>
      </c>
      <c r="I459" t="s">
        <v>100</v>
      </c>
      <c r="J459" t="s">
        <v>47</v>
      </c>
      <c r="K459" t="s">
        <v>48</v>
      </c>
      <c r="L459" t="s">
        <v>49</v>
      </c>
      <c r="M459">
        <v>4</v>
      </c>
      <c r="N459">
        <v>150</v>
      </c>
      <c r="O459">
        <v>10</v>
      </c>
      <c r="P459">
        <v>540</v>
      </c>
      <c r="Q459">
        <v>150.05000000000001</v>
      </c>
      <c r="R459" t="s">
        <v>30</v>
      </c>
      <c r="S459" t="s">
        <v>31</v>
      </c>
      <c r="T459" t="s">
        <v>93</v>
      </c>
    </row>
    <row r="460" spans="1:20" x14ac:dyDescent="0.35">
      <c r="A460" t="s">
        <v>1141</v>
      </c>
      <c r="B460" t="s">
        <v>1117</v>
      </c>
      <c r="C460" t="s">
        <v>812</v>
      </c>
      <c r="D460" t="s">
        <v>663</v>
      </c>
      <c r="E460" t="s">
        <v>37</v>
      </c>
      <c r="F460">
        <v>37</v>
      </c>
      <c r="G460" t="s">
        <v>98</v>
      </c>
      <c r="H460" t="s">
        <v>99</v>
      </c>
      <c r="I460" t="s">
        <v>100</v>
      </c>
      <c r="J460" t="s">
        <v>27</v>
      </c>
      <c r="K460" t="s">
        <v>28</v>
      </c>
      <c r="L460" t="s">
        <v>29</v>
      </c>
      <c r="M460">
        <v>4</v>
      </c>
      <c r="N460">
        <v>12000</v>
      </c>
      <c r="O460">
        <v>5</v>
      </c>
      <c r="P460">
        <v>45600</v>
      </c>
      <c r="Q460">
        <v>4276.6499999999996</v>
      </c>
      <c r="R460" t="s">
        <v>50</v>
      </c>
      <c r="S460" t="s">
        <v>31</v>
      </c>
      <c r="T460" t="s">
        <v>60</v>
      </c>
    </row>
    <row r="461" spans="1:20" x14ac:dyDescent="0.35">
      <c r="A461" t="s">
        <v>1142</v>
      </c>
      <c r="B461" t="s">
        <v>656</v>
      </c>
      <c r="C461" t="s">
        <v>758</v>
      </c>
      <c r="D461" t="s">
        <v>982</v>
      </c>
      <c r="E461" t="s">
        <v>37</v>
      </c>
      <c r="F461">
        <v>45</v>
      </c>
      <c r="G461" t="s">
        <v>86</v>
      </c>
      <c r="H461" t="s">
        <v>87</v>
      </c>
      <c r="I461" t="s">
        <v>88</v>
      </c>
      <c r="J461" t="s">
        <v>78</v>
      </c>
      <c r="K461" t="s">
        <v>79</v>
      </c>
      <c r="L461" t="s">
        <v>156</v>
      </c>
      <c r="M461">
        <v>3</v>
      </c>
      <c r="N461">
        <v>800</v>
      </c>
      <c r="O461">
        <v>10</v>
      </c>
      <c r="P461">
        <v>2160</v>
      </c>
      <c r="Q461">
        <v>549.75</v>
      </c>
      <c r="R461" t="s">
        <v>30</v>
      </c>
      <c r="S461" t="s">
        <v>51</v>
      </c>
      <c r="T461" t="s">
        <v>93</v>
      </c>
    </row>
    <row r="462" spans="1:20" x14ac:dyDescent="0.35">
      <c r="A462" t="s">
        <v>1143</v>
      </c>
      <c r="B462" t="s">
        <v>1144</v>
      </c>
      <c r="C462" t="s">
        <v>812</v>
      </c>
      <c r="D462" t="s">
        <v>246</v>
      </c>
      <c r="E462" t="s">
        <v>23</v>
      </c>
      <c r="F462">
        <v>53</v>
      </c>
      <c r="G462" t="s">
        <v>126</v>
      </c>
      <c r="H462" t="s">
        <v>127</v>
      </c>
      <c r="I462" t="s">
        <v>88</v>
      </c>
      <c r="J462" t="s">
        <v>27</v>
      </c>
      <c r="K462" t="s">
        <v>28</v>
      </c>
      <c r="L462" t="s">
        <v>73</v>
      </c>
      <c r="M462">
        <v>5</v>
      </c>
      <c r="N462">
        <v>25000</v>
      </c>
      <c r="O462">
        <v>20</v>
      </c>
      <c r="P462">
        <v>100000</v>
      </c>
      <c r="Q462">
        <v>10124.51</v>
      </c>
      <c r="R462" t="s">
        <v>41</v>
      </c>
      <c r="S462" t="s">
        <v>31</v>
      </c>
      <c r="T462" t="s">
        <v>60</v>
      </c>
    </row>
    <row r="463" spans="1:20" x14ac:dyDescent="0.35">
      <c r="A463" t="s">
        <v>1145</v>
      </c>
      <c r="B463" t="s">
        <v>1146</v>
      </c>
      <c r="C463" t="s">
        <v>494</v>
      </c>
      <c r="D463" t="s">
        <v>566</v>
      </c>
      <c r="E463" t="s">
        <v>23</v>
      </c>
      <c r="F463">
        <v>22</v>
      </c>
      <c r="G463" t="s">
        <v>126</v>
      </c>
      <c r="H463" t="s">
        <v>127</v>
      </c>
      <c r="I463" t="s">
        <v>88</v>
      </c>
      <c r="J463" t="s">
        <v>47</v>
      </c>
      <c r="K463" t="s">
        <v>48</v>
      </c>
      <c r="L463" t="s">
        <v>116</v>
      </c>
      <c r="M463">
        <v>2</v>
      </c>
      <c r="N463">
        <v>120</v>
      </c>
      <c r="O463">
        <v>5</v>
      </c>
      <c r="P463">
        <v>228</v>
      </c>
      <c r="Q463">
        <v>61.43</v>
      </c>
      <c r="R463" t="s">
        <v>50</v>
      </c>
      <c r="S463" t="s">
        <v>51</v>
      </c>
      <c r="T463" t="s">
        <v>93</v>
      </c>
    </row>
    <row r="464" spans="1:20" x14ac:dyDescent="0.35">
      <c r="A464" t="s">
        <v>1147</v>
      </c>
      <c r="B464" t="s">
        <v>1115</v>
      </c>
      <c r="C464" t="s">
        <v>436</v>
      </c>
      <c r="D464" t="s">
        <v>685</v>
      </c>
      <c r="E464" t="s">
        <v>23</v>
      </c>
      <c r="F464">
        <v>41</v>
      </c>
      <c r="G464" t="s">
        <v>98</v>
      </c>
      <c r="H464" t="s">
        <v>99</v>
      </c>
      <c r="I464" t="s">
        <v>100</v>
      </c>
      <c r="J464" t="s">
        <v>27</v>
      </c>
      <c r="K464" t="s">
        <v>28</v>
      </c>
      <c r="L464" t="s">
        <v>140</v>
      </c>
      <c r="M464">
        <v>3</v>
      </c>
      <c r="N464">
        <v>65000</v>
      </c>
      <c r="O464">
        <v>10</v>
      </c>
      <c r="P464">
        <v>175500</v>
      </c>
      <c r="Q464">
        <v>40581.56</v>
      </c>
      <c r="R464" t="s">
        <v>50</v>
      </c>
      <c r="S464" t="s">
        <v>31</v>
      </c>
      <c r="T464" t="s">
        <v>93</v>
      </c>
    </row>
    <row r="465" spans="1:20" x14ac:dyDescent="0.35">
      <c r="A465" t="s">
        <v>1148</v>
      </c>
      <c r="B465" t="s">
        <v>1013</v>
      </c>
      <c r="C465" t="s">
        <v>646</v>
      </c>
      <c r="D465" t="s">
        <v>1062</v>
      </c>
      <c r="E465" t="s">
        <v>37</v>
      </c>
      <c r="F465">
        <v>36</v>
      </c>
      <c r="G465" t="s">
        <v>98</v>
      </c>
      <c r="H465" t="s">
        <v>99</v>
      </c>
      <c r="I465" t="s">
        <v>100</v>
      </c>
      <c r="J465" t="s">
        <v>47</v>
      </c>
      <c r="K465" t="s">
        <v>48</v>
      </c>
      <c r="L465" t="s">
        <v>49</v>
      </c>
      <c r="M465">
        <v>2</v>
      </c>
      <c r="N465">
        <v>150</v>
      </c>
      <c r="O465">
        <v>15</v>
      </c>
      <c r="P465">
        <v>255</v>
      </c>
      <c r="Q465">
        <v>30.81</v>
      </c>
      <c r="R465" t="s">
        <v>81</v>
      </c>
      <c r="S465" t="s">
        <v>31</v>
      </c>
      <c r="T465" t="s">
        <v>60</v>
      </c>
    </row>
    <row r="466" spans="1:20" x14ac:dyDescent="0.35">
      <c r="A466" t="s">
        <v>1149</v>
      </c>
      <c r="B466" t="s">
        <v>1150</v>
      </c>
      <c r="C466" t="s">
        <v>653</v>
      </c>
      <c r="D466" t="s">
        <v>85</v>
      </c>
      <c r="E466" t="s">
        <v>37</v>
      </c>
      <c r="F466">
        <v>25</v>
      </c>
      <c r="G466" t="s">
        <v>38</v>
      </c>
      <c r="H466" t="s">
        <v>39</v>
      </c>
      <c r="I466" t="s">
        <v>26</v>
      </c>
      <c r="J466" t="s">
        <v>78</v>
      </c>
      <c r="K466" t="s">
        <v>79</v>
      </c>
      <c r="L466" t="s">
        <v>156</v>
      </c>
      <c r="M466">
        <v>3</v>
      </c>
      <c r="N466">
        <v>800</v>
      </c>
      <c r="O466">
        <v>0</v>
      </c>
      <c r="P466">
        <v>2400</v>
      </c>
      <c r="Q466">
        <v>356.73</v>
      </c>
      <c r="R466" t="s">
        <v>59</v>
      </c>
      <c r="S466" t="s">
        <v>92</v>
      </c>
      <c r="T466" t="s">
        <v>93</v>
      </c>
    </row>
    <row r="467" spans="1:20" x14ac:dyDescent="0.35">
      <c r="A467" t="s">
        <v>1151</v>
      </c>
      <c r="B467" t="s">
        <v>1152</v>
      </c>
      <c r="C467" t="s">
        <v>736</v>
      </c>
      <c r="D467" t="s">
        <v>302</v>
      </c>
      <c r="E467" t="s">
        <v>37</v>
      </c>
      <c r="F467">
        <v>40</v>
      </c>
      <c r="G467" t="s">
        <v>57</v>
      </c>
      <c r="H467" t="s">
        <v>57</v>
      </c>
      <c r="I467" t="s">
        <v>58</v>
      </c>
      <c r="J467" t="s">
        <v>27</v>
      </c>
      <c r="K467" t="s">
        <v>28</v>
      </c>
      <c r="L467" t="s">
        <v>29</v>
      </c>
      <c r="M467">
        <v>4</v>
      </c>
      <c r="N467">
        <v>12000</v>
      </c>
      <c r="O467">
        <v>20</v>
      </c>
      <c r="P467">
        <v>38400</v>
      </c>
      <c r="Q467">
        <v>7933.33</v>
      </c>
      <c r="R467" t="s">
        <v>30</v>
      </c>
      <c r="S467" t="s">
        <v>51</v>
      </c>
      <c r="T467" t="s">
        <v>65</v>
      </c>
    </row>
    <row r="468" spans="1:20" x14ac:dyDescent="0.35">
      <c r="A468" t="s">
        <v>1153</v>
      </c>
      <c r="B468" t="s">
        <v>360</v>
      </c>
      <c r="C468" t="s">
        <v>754</v>
      </c>
      <c r="D468" t="s">
        <v>709</v>
      </c>
      <c r="E468" t="s">
        <v>23</v>
      </c>
      <c r="F468">
        <v>30</v>
      </c>
      <c r="G468" t="s">
        <v>46</v>
      </c>
      <c r="H468" t="s">
        <v>25</v>
      </c>
      <c r="I468" t="s">
        <v>26</v>
      </c>
      <c r="J468" t="s">
        <v>78</v>
      </c>
      <c r="K468" t="s">
        <v>79</v>
      </c>
      <c r="L468" t="s">
        <v>156</v>
      </c>
      <c r="M468">
        <v>2</v>
      </c>
      <c r="N468">
        <v>800</v>
      </c>
      <c r="O468">
        <v>20</v>
      </c>
      <c r="P468">
        <v>1280</v>
      </c>
      <c r="Q468">
        <v>169.6</v>
      </c>
      <c r="R468" t="s">
        <v>59</v>
      </c>
      <c r="S468" t="s">
        <v>51</v>
      </c>
      <c r="T468" t="s">
        <v>60</v>
      </c>
    </row>
    <row r="469" spans="1:20" x14ac:dyDescent="0.35">
      <c r="A469" t="s">
        <v>1154</v>
      </c>
      <c r="B469" t="s">
        <v>467</v>
      </c>
      <c r="C469" t="s">
        <v>631</v>
      </c>
      <c r="D469" t="s">
        <v>298</v>
      </c>
      <c r="E469" t="s">
        <v>23</v>
      </c>
      <c r="F469">
        <v>35</v>
      </c>
      <c r="G469" t="s">
        <v>24</v>
      </c>
      <c r="H469" t="s">
        <v>25</v>
      </c>
      <c r="I469" t="s">
        <v>26</v>
      </c>
      <c r="J469" t="s">
        <v>89</v>
      </c>
      <c r="K469" t="s">
        <v>90</v>
      </c>
      <c r="L469" t="s">
        <v>91</v>
      </c>
      <c r="M469">
        <v>5</v>
      </c>
      <c r="N469">
        <v>9000</v>
      </c>
      <c r="O469">
        <v>20</v>
      </c>
      <c r="P469">
        <v>36000</v>
      </c>
      <c r="Q469">
        <v>4112.2299999999996</v>
      </c>
      <c r="R469" t="s">
        <v>50</v>
      </c>
      <c r="S469" t="s">
        <v>51</v>
      </c>
      <c r="T469" t="s">
        <v>32</v>
      </c>
    </row>
    <row r="470" spans="1:20" x14ac:dyDescent="0.35">
      <c r="A470" t="s">
        <v>1155</v>
      </c>
      <c r="B470" t="s">
        <v>1074</v>
      </c>
      <c r="C470" t="s">
        <v>135</v>
      </c>
      <c r="D470" t="s">
        <v>424</v>
      </c>
      <c r="E470" t="s">
        <v>37</v>
      </c>
      <c r="F470">
        <v>27</v>
      </c>
      <c r="G470" t="s">
        <v>126</v>
      </c>
      <c r="H470" t="s">
        <v>127</v>
      </c>
      <c r="I470" t="s">
        <v>88</v>
      </c>
      <c r="J470" t="s">
        <v>89</v>
      </c>
      <c r="K470" t="s">
        <v>90</v>
      </c>
      <c r="L470" t="s">
        <v>242</v>
      </c>
      <c r="M470">
        <v>4</v>
      </c>
      <c r="N470">
        <v>6000</v>
      </c>
      <c r="O470">
        <v>15</v>
      </c>
      <c r="P470">
        <v>20400</v>
      </c>
      <c r="Q470">
        <v>4373.3</v>
      </c>
      <c r="R470" t="s">
        <v>59</v>
      </c>
      <c r="S470" t="s">
        <v>51</v>
      </c>
      <c r="T470" t="s">
        <v>117</v>
      </c>
    </row>
    <row r="471" spans="1:20" x14ac:dyDescent="0.35">
      <c r="A471" t="s">
        <v>1156</v>
      </c>
      <c r="B471" t="s">
        <v>1157</v>
      </c>
      <c r="C471" t="s">
        <v>337</v>
      </c>
      <c r="D471" t="s">
        <v>883</v>
      </c>
      <c r="E471" t="s">
        <v>37</v>
      </c>
      <c r="F471">
        <v>21</v>
      </c>
      <c r="G471" t="s">
        <v>86</v>
      </c>
      <c r="H471" t="s">
        <v>87</v>
      </c>
      <c r="I471" t="s">
        <v>88</v>
      </c>
      <c r="J471" t="s">
        <v>78</v>
      </c>
      <c r="K471" t="s">
        <v>79</v>
      </c>
      <c r="L471" t="s">
        <v>80</v>
      </c>
      <c r="M471">
        <v>1</v>
      </c>
      <c r="N471">
        <v>1800</v>
      </c>
      <c r="O471">
        <v>10</v>
      </c>
      <c r="P471">
        <v>1620</v>
      </c>
      <c r="Q471">
        <v>194.53</v>
      </c>
      <c r="R471" t="s">
        <v>30</v>
      </c>
      <c r="S471" t="s">
        <v>51</v>
      </c>
      <c r="T471" t="s">
        <v>60</v>
      </c>
    </row>
    <row r="472" spans="1:20" x14ac:dyDescent="0.35">
      <c r="A472" t="s">
        <v>1158</v>
      </c>
      <c r="B472" t="s">
        <v>367</v>
      </c>
      <c r="C472" t="s">
        <v>104</v>
      </c>
      <c r="D472" t="s">
        <v>1159</v>
      </c>
      <c r="E472" t="s">
        <v>23</v>
      </c>
      <c r="F472">
        <v>49</v>
      </c>
      <c r="G472" t="s">
        <v>57</v>
      </c>
      <c r="H472" t="s">
        <v>57</v>
      </c>
      <c r="I472" t="s">
        <v>58</v>
      </c>
      <c r="J472" t="s">
        <v>78</v>
      </c>
      <c r="K472" t="s">
        <v>79</v>
      </c>
      <c r="L472" t="s">
        <v>156</v>
      </c>
      <c r="M472">
        <v>3</v>
      </c>
      <c r="N472">
        <v>800</v>
      </c>
      <c r="O472">
        <v>10</v>
      </c>
      <c r="P472">
        <v>2160</v>
      </c>
      <c r="Q472">
        <v>582.95000000000005</v>
      </c>
      <c r="R472" t="s">
        <v>30</v>
      </c>
      <c r="S472" t="s">
        <v>51</v>
      </c>
      <c r="T472" t="s">
        <v>32</v>
      </c>
    </row>
    <row r="473" spans="1:20" x14ac:dyDescent="0.35">
      <c r="A473" t="s">
        <v>1160</v>
      </c>
      <c r="B473" t="s">
        <v>1161</v>
      </c>
      <c r="C473" t="s">
        <v>673</v>
      </c>
      <c r="D473" t="s">
        <v>226</v>
      </c>
      <c r="E473" t="s">
        <v>23</v>
      </c>
      <c r="F473">
        <v>22</v>
      </c>
      <c r="G473" t="s">
        <v>86</v>
      </c>
      <c r="H473" t="s">
        <v>87</v>
      </c>
      <c r="I473" t="s">
        <v>88</v>
      </c>
      <c r="J473" t="s">
        <v>27</v>
      </c>
      <c r="K473" t="s">
        <v>28</v>
      </c>
      <c r="L473" t="s">
        <v>29</v>
      </c>
      <c r="M473">
        <v>2</v>
      </c>
      <c r="N473">
        <v>12000</v>
      </c>
      <c r="O473">
        <v>5</v>
      </c>
      <c r="P473">
        <v>22800</v>
      </c>
      <c r="Q473">
        <v>2344.64</v>
      </c>
      <c r="R473" t="s">
        <v>81</v>
      </c>
      <c r="S473" t="s">
        <v>51</v>
      </c>
      <c r="T473" t="s">
        <v>52</v>
      </c>
    </row>
    <row r="474" spans="1:20" x14ac:dyDescent="0.35">
      <c r="A474" t="s">
        <v>1162</v>
      </c>
      <c r="B474" t="s">
        <v>984</v>
      </c>
      <c r="C474" t="s">
        <v>539</v>
      </c>
      <c r="D474" t="s">
        <v>449</v>
      </c>
      <c r="E474" t="s">
        <v>37</v>
      </c>
      <c r="F474">
        <v>25</v>
      </c>
      <c r="G474" t="s">
        <v>98</v>
      </c>
      <c r="H474" t="s">
        <v>99</v>
      </c>
      <c r="I474" t="s">
        <v>100</v>
      </c>
      <c r="J474" t="s">
        <v>78</v>
      </c>
      <c r="K474" t="s">
        <v>79</v>
      </c>
      <c r="L474" t="s">
        <v>80</v>
      </c>
      <c r="M474">
        <v>1</v>
      </c>
      <c r="N474">
        <v>1800</v>
      </c>
      <c r="O474">
        <v>10</v>
      </c>
      <c r="P474">
        <v>1620</v>
      </c>
      <c r="Q474">
        <v>387.22</v>
      </c>
      <c r="R474" t="s">
        <v>81</v>
      </c>
      <c r="S474" t="s">
        <v>51</v>
      </c>
      <c r="T474" t="s">
        <v>60</v>
      </c>
    </row>
    <row r="475" spans="1:20" x14ac:dyDescent="0.35">
      <c r="A475" t="s">
        <v>1163</v>
      </c>
      <c r="B475" t="s">
        <v>1164</v>
      </c>
      <c r="C475" t="s">
        <v>839</v>
      </c>
      <c r="D475" t="s">
        <v>650</v>
      </c>
      <c r="E475" t="s">
        <v>37</v>
      </c>
      <c r="F475">
        <v>53</v>
      </c>
      <c r="G475" t="s">
        <v>57</v>
      </c>
      <c r="H475" t="s">
        <v>57</v>
      </c>
      <c r="I475" t="s">
        <v>58</v>
      </c>
      <c r="J475" t="s">
        <v>78</v>
      </c>
      <c r="K475" t="s">
        <v>79</v>
      </c>
      <c r="L475" t="s">
        <v>101</v>
      </c>
      <c r="M475">
        <v>3</v>
      </c>
      <c r="N475">
        <v>3500</v>
      </c>
      <c r="O475">
        <v>10</v>
      </c>
      <c r="P475">
        <v>9450</v>
      </c>
      <c r="Q475">
        <v>1943.3</v>
      </c>
      <c r="R475" t="s">
        <v>50</v>
      </c>
      <c r="S475" t="s">
        <v>51</v>
      </c>
      <c r="T475" t="s">
        <v>52</v>
      </c>
    </row>
    <row r="476" spans="1:20" x14ac:dyDescent="0.35">
      <c r="A476" t="s">
        <v>1165</v>
      </c>
      <c r="B476" t="s">
        <v>228</v>
      </c>
      <c r="C476" t="s">
        <v>245</v>
      </c>
      <c r="D476" t="s">
        <v>352</v>
      </c>
      <c r="E476" t="s">
        <v>37</v>
      </c>
      <c r="F476">
        <v>29</v>
      </c>
      <c r="G476" t="s">
        <v>126</v>
      </c>
      <c r="H476" t="s">
        <v>127</v>
      </c>
      <c r="I476" t="s">
        <v>88</v>
      </c>
      <c r="J476" t="s">
        <v>27</v>
      </c>
      <c r="K476" t="s">
        <v>28</v>
      </c>
      <c r="L476" t="s">
        <v>140</v>
      </c>
      <c r="M476">
        <v>5</v>
      </c>
      <c r="N476">
        <v>65000</v>
      </c>
      <c r="O476">
        <v>0</v>
      </c>
      <c r="P476">
        <v>325000</v>
      </c>
      <c r="Q476">
        <v>70078.67</v>
      </c>
      <c r="R476" t="s">
        <v>41</v>
      </c>
      <c r="S476" t="s">
        <v>92</v>
      </c>
      <c r="T476" t="s">
        <v>52</v>
      </c>
    </row>
    <row r="477" spans="1:20" x14ac:dyDescent="0.35">
      <c r="A477" t="s">
        <v>1166</v>
      </c>
      <c r="B477" t="s">
        <v>370</v>
      </c>
      <c r="C477" t="s">
        <v>405</v>
      </c>
      <c r="D477" t="s">
        <v>650</v>
      </c>
      <c r="E477" t="s">
        <v>37</v>
      </c>
      <c r="F477">
        <v>53</v>
      </c>
      <c r="G477" t="s">
        <v>38</v>
      </c>
      <c r="H477" t="s">
        <v>39</v>
      </c>
      <c r="I477" t="s">
        <v>26</v>
      </c>
      <c r="J477" t="s">
        <v>27</v>
      </c>
      <c r="K477" t="s">
        <v>28</v>
      </c>
      <c r="L477" t="s">
        <v>140</v>
      </c>
      <c r="M477">
        <v>3</v>
      </c>
      <c r="N477">
        <v>65000</v>
      </c>
      <c r="O477">
        <v>5</v>
      </c>
      <c r="P477">
        <v>185250</v>
      </c>
      <c r="Q477">
        <v>27674.880000000001</v>
      </c>
      <c r="R477" t="s">
        <v>41</v>
      </c>
      <c r="S477" t="s">
        <v>51</v>
      </c>
      <c r="T477" t="s">
        <v>93</v>
      </c>
    </row>
    <row r="478" spans="1:20" x14ac:dyDescent="0.35">
      <c r="A478" t="s">
        <v>1167</v>
      </c>
      <c r="B478" t="s">
        <v>280</v>
      </c>
      <c r="C478" t="s">
        <v>260</v>
      </c>
      <c r="D478" t="s">
        <v>305</v>
      </c>
      <c r="E478" t="s">
        <v>37</v>
      </c>
      <c r="F478">
        <v>20</v>
      </c>
      <c r="G478" t="s">
        <v>114</v>
      </c>
      <c r="H478" t="s">
        <v>115</v>
      </c>
      <c r="I478" t="s">
        <v>88</v>
      </c>
      <c r="J478" t="s">
        <v>78</v>
      </c>
      <c r="K478" t="s">
        <v>79</v>
      </c>
      <c r="L478" t="s">
        <v>80</v>
      </c>
      <c r="M478">
        <v>3</v>
      </c>
      <c r="N478">
        <v>1800</v>
      </c>
      <c r="O478">
        <v>0</v>
      </c>
      <c r="P478">
        <v>5400</v>
      </c>
      <c r="Q478">
        <v>923.63</v>
      </c>
      <c r="R478" t="s">
        <v>30</v>
      </c>
      <c r="S478" t="s">
        <v>92</v>
      </c>
      <c r="T478" t="s">
        <v>52</v>
      </c>
    </row>
    <row r="479" spans="1:20" x14ac:dyDescent="0.35">
      <c r="A479" t="s">
        <v>1168</v>
      </c>
      <c r="B479" t="s">
        <v>1169</v>
      </c>
      <c r="C479" t="s">
        <v>388</v>
      </c>
      <c r="D479" t="s">
        <v>560</v>
      </c>
      <c r="E479" t="s">
        <v>23</v>
      </c>
      <c r="F479">
        <v>50</v>
      </c>
      <c r="G479" t="s">
        <v>98</v>
      </c>
      <c r="H479" t="s">
        <v>99</v>
      </c>
      <c r="I479" t="s">
        <v>100</v>
      </c>
      <c r="J479" t="s">
        <v>47</v>
      </c>
      <c r="K479" t="s">
        <v>48</v>
      </c>
      <c r="L479" t="s">
        <v>215</v>
      </c>
      <c r="M479">
        <v>5</v>
      </c>
      <c r="N479">
        <v>450</v>
      </c>
      <c r="O479">
        <v>10</v>
      </c>
      <c r="P479">
        <v>2025</v>
      </c>
      <c r="Q479">
        <v>232.93</v>
      </c>
      <c r="R479" t="s">
        <v>81</v>
      </c>
      <c r="S479" t="s">
        <v>51</v>
      </c>
      <c r="T479" t="s">
        <v>32</v>
      </c>
    </row>
    <row r="480" spans="1:20" x14ac:dyDescent="0.35">
      <c r="A480" t="s">
        <v>1170</v>
      </c>
      <c r="B480" t="s">
        <v>1171</v>
      </c>
      <c r="C480" t="s">
        <v>131</v>
      </c>
      <c r="D480" t="s">
        <v>903</v>
      </c>
      <c r="E480" t="s">
        <v>37</v>
      </c>
      <c r="F480">
        <v>31</v>
      </c>
      <c r="G480" t="s">
        <v>46</v>
      </c>
      <c r="H480" t="s">
        <v>25</v>
      </c>
      <c r="I480" t="s">
        <v>26</v>
      </c>
      <c r="J480" t="s">
        <v>89</v>
      </c>
      <c r="K480" t="s">
        <v>90</v>
      </c>
      <c r="L480" t="s">
        <v>128</v>
      </c>
      <c r="M480">
        <v>5</v>
      </c>
      <c r="N480">
        <v>7000</v>
      </c>
      <c r="O480">
        <v>20</v>
      </c>
      <c r="P480">
        <v>28000</v>
      </c>
      <c r="Q480">
        <v>4283.3999999999996</v>
      </c>
      <c r="R480" t="s">
        <v>50</v>
      </c>
      <c r="S480" t="s">
        <v>51</v>
      </c>
      <c r="T480" t="s">
        <v>117</v>
      </c>
    </row>
    <row r="481" spans="1:20" x14ac:dyDescent="0.35">
      <c r="A481" t="s">
        <v>1172</v>
      </c>
      <c r="B481" t="s">
        <v>1173</v>
      </c>
      <c r="C481" t="s">
        <v>839</v>
      </c>
      <c r="D481" t="s">
        <v>613</v>
      </c>
      <c r="E481" t="s">
        <v>37</v>
      </c>
      <c r="F481">
        <v>23</v>
      </c>
      <c r="G481" t="s">
        <v>114</v>
      </c>
      <c r="H481" t="s">
        <v>115</v>
      </c>
      <c r="I481" t="s">
        <v>88</v>
      </c>
      <c r="J481" t="s">
        <v>89</v>
      </c>
      <c r="K481" t="s">
        <v>90</v>
      </c>
      <c r="L481" t="s">
        <v>128</v>
      </c>
      <c r="M481">
        <v>3</v>
      </c>
      <c r="N481">
        <v>7000</v>
      </c>
      <c r="O481">
        <v>0</v>
      </c>
      <c r="P481">
        <v>21000</v>
      </c>
      <c r="Q481">
        <v>5856.38</v>
      </c>
      <c r="R481" t="s">
        <v>41</v>
      </c>
      <c r="S481" t="s">
        <v>51</v>
      </c>
      <c r="T481" t="s">
        <v>60</v>
      </c>
    </row>
    <row r="482" spans="1:20" x14ac:dyDescent="0.35">
      <c r="A482" t="s">
        <v>1174</v>
      </c>
      <c r="B482" t="s">
        <v>381</v>
      </c>
      <c r="C482" t="s">
        <v>163</v>
      </c>
      <c r="D482" t="s">
        <v>511</v>
      </c>
      <c r="E482" t="s">
        <v>23</v>
      </c>
      <c r="F482">
        <v>34</v>
      </c>
      <c r="G482" t="s">
        <v>24</v>
      </c>
      <c r="H482" t="s">
        <v>25</v>
      </c>
      <c r="I482" t="s">
        <v>26</v>
      </c>
      <c r="J482" t="s">
        <v>47</v>
      </c>
      <c r="K482" t="s">
        <v>48</v>
      </c>
      <c r="L482" t="s">
        <v>116</v>
      </c>
      <c r="M482">
        <v>3</v>
      </c>
      <c r="N482">
        <v>120</v>
      </c>
      <c r="O482">
        <v>10</v>
      </c>
      <c r="P482">
        <v>324</v>
      </c>
      <c r="Q482">
        <v>60.94</v>
      </c>
      <c r="R482" t="s">
        <v>81</v>
      </c>
      <c r="S482" t="s">
        <v>51</v>
      </c>
      <c r="T482" t="s">
        <v>93</v>
      </c>
    </row>
    <row r="483" spans="1:20" x14ac:dyDescent="0.35">
      <c r="A483" t="s">
        <v>1175</v>
      </c>
      <c r="B483" t="s">
        <v>1018</v>
      </c>
      <c r="C483" t="s">
        <v>446</v>
      </c>
      <c r="D483" t="s">
        <v>249</v>
      </c>
      <c r="E483" t="s">
        <v>23</v>
      </c>
      <c r="F483">
        <v>31</v>
      </c>
      <c r="G483" t="s">
        <v>114</v>
      </c>
      <c r="H483" t="s">
        <v>115</v>
      </c>
      <c r="I483" t="s">
        <v>88</v>
      </c>
      <c r="J483" t="s">
        <v>27</v>
      </c>
      <c r="K483" t="s">
        <v>28</v>
      </c>
      <c r="L483" t="s">
        <v>40</v>
      </c>
      <c r="M483">
        <v>2</v>
      </c>
      <c r="N483">
        <v>2500</v>
      </c>
      <c r="O483">
        <v>5</v>
      </c>
      <c r="P483">
        <v>4750</v>
      </c>
      <c r="Q483">
        <v>434.53</v>
      </c>
      <c r="R483" t="s">
        <v>59</v>
      </c>
      <c r="S483" t="s">
        <v>51</v>
      </c>
      <c r="T483" t="s">
        <v>60</v>
      </c>
    </row>
    <row r="484" spans="1:20" x14ac:dyDescent="0.35">
      <c r="A484" t="s">
        <v>1176</v>
      </c>
      <c r="B484" t="s">
        <v>251</v>
      </c>
      <c r="C484" t="s">
        <v>530</v>
      </c>
      <c r="D484" t="s">
        <v>179</v>
      </c>
      <c r="E484" t="s">
        <v>37</v>
      </c>
      <c r="F484">
        <v>44</v>
      </c>
      <c r="G484" t="s">
        <v>86</v>
      </c>
      <c r="H484" t="s">
        <v>87</v>
      </c>
      <c r="I484" t="s">
        <v>88</v>
      </c>
      <c r="J484" t="s">
        <v>27</v>
      </c>
      <c r="K484" t="s">
        <v>28</v>
      </c>
      <c r="L484" t="s">
        <v>29</v>
      </c>
      <c r="M484">
        <v>2</v>
      </c>
      <c r="N484">
        <v>12000</v>
      </c>
      <c r="O484">
        <v>0</v>
      </c>
      <c r="P484">
        <v>24000</v>
      </c>
      <c r="Q484">
        <v>3194.5</v>
      </c>
      <c r="R484" t="s">
        <v>50</v>
      </c>
      <c r="S484" t="s">
        <v>51</v>
      </c>
      <c r="T484" t="s">
        <v>60</v>
      </c>
    </row>
    <row r="485" spans="1:20" x14ac:dyDescent="0.35">
      <c r="A485" t="s">
        <v>1177</v>
      </c>
      <c r="B485" t="s">
        <v>1178</v>
      </c>
      <c r="C485" t="s">
        <v>809</v>
      </c>
      <c r="D485" t="s">
        <v>602</v>
      </c>
      <c r="E485" t="s">
        <v>23</v>
      </c>
      <c r="F485">
        <v>40</v>
      </c>
      <c r="G485" t="s">
        <v>114</v>
      </c>
      <c r="H485" t="s">
        <v>115</v>
      </c>
      <c r="I485" t="s">
        <v>88</v>
      </c>
      <c r="J485" t="s">
        <v>89</v>
      </c>
      <c r="K485" t="s">
        <v>90</v>
      </c>
      <c r="L485" t="s">
        <v>128</v>
      </c>
      <c r="M485">
        <v>4</v>
      </c>
      <c r="N485">
        <v>7000</v>
      </c>
      <c r="O485">
        <v>15</v>
      </c>
      <c r="P485">
        <v>23800</v>
      </c>
      <c r="Q485">
        <v>3311.29</v>
      </c>
      <c r="R485" t="s">
        <v>50</v>
      </c>
      <c r="S485" t="s">
        <v>31</v>
      </c>
      <c r="T485" t="s">
        <v>65</v>
      </c>
    </row>
    <row r="486" spans="1:20" x14ac:dyDescent="0.35">
      <c r="A486" t="s">
        <v>1179</v>
      </c>
      <c r="B486" t="s">
        <v>861</v>
      </c>
      <c r="C486" t="s">
        <v>208</v>
      </c>
      <c r="D486" t="s">
        <v>352</v>
      </c>
      <c r="E486" t="s">
        <v>23</v>
      </c>
      <c r="F486">
        <v>47</v>
      </c>
      <c r="G486" t="s">
        <v>114</v>
      </c>
      <c r="H486" t="s">
        <v>115</v>
      </c>
      <c r="I486" t="s">
        <v>88</v>
      </c>
      <c r="J486" t="s">
        <v>89</v>
      </c>
      <c r="K486" t="s">
        <v>90</v>
      </c>
      <c r="L486" t="s">
        <v>242</v>
      </c>
      <c r="M486">
        <v>4</v>
      </c>
      <c r="N486">
        <v>6000</v>
      </c>
      <c r="O486">
        <v>0</v>
      </c>
      <c r="P486">
        <v>24000</v>
      </c>
      <c r="Q486">
        <v>3544.07</v>
      </c>
      <c r="R486" t="s">
        <v>50</v>
      </c>
      <c r="S486" t="s">
        <v>92</v>
      </c>
      <c r="T486" t="s">
        <v>52</v>
      </c>
    </row>
    <row r="487" spans="1:20" x14ac:dyDescent="0.35">
      <c r="A487" t="s">
        <v>1180</v>
      </c>
      <c r="B487" t="s">
        <v>1181</v>
      </c>
      <c r="C487" t="s">
        <v>539</v>
      </c>
      <c r="D487" t="s">
        <v>1182</v>
      </c>
      <c r="E487" t="s">
        <v>23</v>
      </c>
      <c r="F487">
        <v>51</v>
      </c>
      <c r="G487" t="s">
        <v>114</v>
      </c>
      <c r="H487" t="s">
        <v>115</v>
      </c>
      <c r="I487" t="s">
        <v>88</v>
      </c>
      <c r="J487" t="s">
        <v>27</v>
      </c>
      <c r="K487" t="s">
        <v>28</v>
      </c>
      <c r="L487" t="s">
        <v>40</v>
      </c>
      <c r="M487">
        <v>4</v>
      </c>
      <c r="N487">
        <v>2500</v>
      </c>
      <c r="O487">
        <v>15</v>
      </c>
      <c r="P487">
        <v>8500</v>
      </c>
      <c r="Q487">
        <v>1500.3</v>
      </c>
      <c r="R487" t="s">
        <v>41</v>
      </c>
      <c r="S487" t="s">
        <v>51</v>
      </c>
      <c r="T487" t="s">
        <v>52</v>
      </c>
    </row>
    <row r="488" spans="1:20" x14ac:dyDescent="0.35">
      <c r="A488" t="s">
        <v>1183</v>
      </c>
      <c r="B488" t="s">
        <v>1184</v>
      </c>
      <c r="C488" t="s">
        <v>167</v>
      </c>
      <c r="D488" t="s">
        <v>56</v>
      </c>
      <c r="E488" t="s">
        <v>23</v>
      </c>
      <c r="F488">
        <v>24</v>
      </c>
      <c r="G488" t="s">
        <v>38</v>
      </c>
      <c r="H488" t="s">
        <v>39</v>
      </c>
      <c r="I488" t="s">
        <v>26</v>
      </c>
      <c r="J488" t="s">
        <v>89</v>
      </c>
      <c r="K488" t="s">
        <v>90</v>
      </c>
      <c r="L488" t="s">
        <v>242</v>
      </c>
      <c r="M488">
        <v>5</v>
      </c>
      <c r="N488">
        <v>6000</v>
      </c>
      <c r="O488">
        <v>10</v>
      </c>
      <c r="P488">
        <v>27000</v>
      </c>
      <c r="Q488">
        <v>2280.19</v>
      </c>
      <c r="R488" t="s">
        <v>41</v>
      </c>
      <c r="S488" t="s">
        <v>51</v>
      </c>
      <c r="T488" t="s">
        <v>60</v>
      </c>
    </row>
    <row r="489" spans="1:20" x14ac:dyDescent="0.35">
      <c r="A489" t="s">
        <v>1185</v>
      </c>
      <c r="B489" t="s">
        <v>1186</v>
      </c>
      <c r="C489" t="s">
        <v>689</v>
      </c>
      <c r="D489" t="s">
        <v>441</v>
      </c>
      <c r="E489" t="s">
        <v>37</v>
      </c>
      <c r="F489">
        <v>29</v>
      </c>
      <c r="G489" t="s">
        <v>114</v>
      </c>
      <c r="H489" t="s">
        <v>115</v>
      </c>
      <c r="I489" t="s">
        <v>88</v>
      </c>
      <c r="J489" t="s">
        <v>47</v>
      </c>
      <c r="K489" t="s">
        <v>48</v>
      </c>
      <c r="L489" t="s">
        <v>49</v>
      </c>
      <c r="M489">
        <v>1</v>
      </c>
      <c r="N489">
        <v>150</v>
      </c>
      <c r="O489">
        <v>0</v>
      </c>
      <c r="P489">
        <v>150</v>
      </c>
      <c r="Q489">
        <v>20.12</v>
      </c>
      <c r="R489" t="s">
        <v>30</v>
      </c>
      <c r="S489" t="s">
        <v>51</v>
      </c>
      <c r="T489" t="s">
        <v>65</v>
      </c>
    </row>
    <row r="490" spans="1:20" x14ac:dyDescent="0.35">
      <c r="A490" t="s">
        <v>1187</v>
      </c>
      <c r="B490" t="s">
        <v>1188</v>
      </c>
      <c r="C490" t="s">
        <v>429</v>
      </c>
      <c r="D490" t="s">
        <v>45</v>
      </c>
      <c r="E490" t="s">
        <v>37</v>
      </c>
      <c r="F490">
        <v>58</v>
      </c>
      <c r="G490" t="s">
        <v>98</v>
      </c>
      <c r="H490" t="s">
        <v>99</v>
      </c>
      <c r="I490" t="s">
        <v>100</v>
      </c>
      <c r="J490" t="s">
        <v>27</v>
      </c>
      <c r="K490" t="s">
        <v>28</v>
      </c>
      <c r="L490" t="s">
        <v>73</v>
      </c>
      <c r="M490">
        <v>4</v>
      </c>
      <c r="N490">
        <v>25000</v>
      </c>
      <c r="O490">
        <v>0</v>
      </c>
      <c r="P490">
        <v>100000</v>
      </c>
      <c r="Q490">
        <v>15277.72</v>
      </c>
      <c r="R490" t="s">
        <v>41</v>
      </c>
      <c r="S490" t="s">
        <v>51</v>
      </c>
      <c r="T490" t="s">
        <v>93</v>
      </c>
    </row>
    <row r="491" spans="1:20" x14ac:dyDescent="0.35">
      <c r="A491" t="s">
        <v>1189</v>
      </c>
      <c r="B491" t="s">
        <v>562</v>
      </c>
      <c r="C491" t="s">
        <v>522</v>
      </c>
      <c r="D491" t="s">
        <v>536</v>
      </c>
      <c r="E491" t="s">
        <v>23</v>
      </c>
      <c r="F491">
        <v>41</v>
      </c>
      <c r="G491" t="s">
        <v>46</v>
      </c>
      <c r="H491" t="s">
        <v>25</v>
      </c>
      <c r="I491" t="s">
        <v>26</v>
      </c>
      <c r="J491" t="s">
        <v>89</v>
      </c>
      <c r="K491" t="s">
        <v>90</v>
      </c>
      <c r="L491" t="s">
        <v>128</v>
      </c>
      <c r="M491">
        <v>5</v>
      </c>
      <c r="N491">
        <v>7000</v>
      </c>
      <c r="O491">
        <v>0</v>
      </c>
      <c r="P491">
        <v>35000</v>
      </c>
      <c r="Q491">
        <v>4622.3999999999996</v>
      </c>
      <c r="R491" t="s">
        <v>50</v>
      </c>
      <c r="S491" t="s">
        <v>51</v>
      </c>
      <c r="T491" t="s">
        <v>60</v>
      </c>
    </row>
    <row r="492" spans="1:20" x14ac:dyDescent="0.35">
      <c r="A492" t="s">
        <v>1190</v>
      </c>
      <c r="B492" t="s">
        <v>1191</v>
      </c>
      <c r="C492" t="s">
        <v>659</v>
      </c>
      <c r="D492" t="s">
        <v>97</v>
      </c>
      <c r="E492" t="s">
        <v>37</v>
      </c>
      <c r="F492">
        <v>36</v>
      </c>
      <c r="G492" t="s">
        <v>24</v>
      </c>
      <c r="H492" t="s">
        <v>25</v>
      </c>
      <c r="I492" t="s">
        <v>26</v>
      </c>
      <c r="J492" t="s">
        <v>78</v>
      </c>
      <c r="K492" t="s">
        <v>79</v>
      </c>
      <c r="L492" t="s">
        <v>101</v>
      </c>
      <c r="M492">
        <v>4</v>
      </c>
      <c r="N492">
        <v>3500</v>
      </c>
      <c r="O492">
        <v>0</v>
      </c>
      <c r="P492">
        <v>14000</v>
      </c>
      <c r="Q492">
        <v>3758.08</v>
      </c>
      <c r="R492" t="s">
        <v>81</v>
      </c>
      <c r="S492" t="s">
        <v>51</v>
      </c>
      <c r="T492" t="s">
        <v>93</v>
      </c>
    </row>
    <row r="493" spans="1:20" x14ac:dyDescent="0.35">
      <c r="A493" t="s">
        <v>1192</v>
      </c>
      <c r="B493" t="s">
        <v>455</v>
      </c>
      <c r="C493" t="s">
        <v>480</v>
      </c>
      <c r="D493" t="s">
        <v>457</v>
      </c>
      <c r="E493" t="s">
        <v>23</v>
      </c>
      <c r="F493">
        <v>43</v>
      </c>
      <c r="G493" t="s">
        <v>114</v>
      </c>
      <c r="H493" t="s">
        <v>115</v>
      </c>
      <c r="I493" t="s">
        <v>88</v>
      </c>
      <c r="J493" t="s">
        <v>89</v>
      </c>
      <c r="K493" t="s">
        <v>90</v>
      </c>
      <c r="L493" t="s">
        <v>91</v>
      </c>
      <c r="M493">
        <v>2</v>
      </c>
      <c r="N493">
        <v>9000</v>
      </c>
      <c r="O493">
        <v>10</v>
      </c>
      <c r="P493">
        <v>16200</v>
      </c>
      <c r="Q493">
        <v>3446.07</v>
      </c>
      <c r="R493" t="s">
        <v>30</v>
      </c>
      <c r="S493" t="s">
        <v>51</v>
      </c>
      <c r="T493" t="s">
        <v>65</v>
      </c>
    </row>
    <row r="494" spans="1:20" x14ac:dyDescent="0.35">
      <c r="A494" t="s">
        <v>1193</v>
      </c>
      <c r="B494" t="s">
        <v>984</v>
      </c>
      <c r="C494" t="s">
        <v>488</v>
      </c>
      <c r="D494" t="s">
        <v>1079</v>
      </c>
      <c r="E494" t="s">
        <v>23</v>
      </c>
      <c r="F494">
        <v>23</v>
      </c>
      <c r="G494" t="s">
        <v>57</v>
      </c>
      <c r="H494" t="s">
        <v>57</v>
      </c>
      <c r="I494" t="s">
        <v>58</v>
      </c>
      <c r="J494" t="s">
        <v>89</v>
      </c>
      <c r="K494" t="s">
        <v>90</v>
      </c>
      <c r="L494" t="s">
        <v>242</v>
      </c>
      <c r="M494">
        <v>4</v>
      </c>
      <c r="N494">
        <v>6000</v>
      </c>
      <c r="O494">
        <v>5</v>
      </c>
      <c r="P494">
        <v>22800</v>
      </c>
      <c r="Q494">
        <v>3876.23</v>
      </c>
      <c r="R494" t="s">
        <v>81</v>
      </c>
      <c r="S494" t="s">
        <v>51</v>
      </c>
      <c r="T494" t="s">
        <v>32</v>
      </c>
    </row>
    <row r="495" spans="1:20" x14ac:dyDescent="0.35">
      <c r="A495" t="s">
        <v>1194</v>
      </c>
      <c r="B495" t="s">
        <v>1195</v>
      </c>
      <c r="C495" t="s">
        <v>76</v>
      </c>
      <c r="D495" t="s">
        <v>566</v>
      </c>
      <c r="E495" t="s">
        <v>37</v>
      </c>
      <c r="F495">
        <v>37</v>
      </c>
      <c r="G495" t="s">
        <v>46</v>
      </c>
      <c r="H495" t="s">
        <v>25</v>
      </c>
      <c r="I495" t="s">
        <v>26</v>
      </c>
      <c r="J495" t="s">
        <v>78</v>
      </c>
      <c r="K495" t="s">
        <v>79</v>
      </c>
      <c r="L495" t="s">
        <v>101</v>
      </c>
      <c r="M495">
        <v>4</v>
      </c>
      <c r="N495">
        <v>3500</v>
      </c>
      <c r="O495">
        <v>10</v>
      </c>
      <c r="P495">
        <v>12600</v>
      </c>
      <c r="Q495">
        <v>1252.9000000000001</v>
      </c>
      <c r="R495" t="s">
        <v>59</v>
      </c>
      <c r="S495" t="s">
        <v>51</v>
      </c>
      <c r="T495" t="s">
        <v>52</v>
      </c>
    </row>
    <row r="496" spans="1:20" x14ac:dyDescent="0.35">
      <c r="A496" t="s">
        <v>1196</v>
      </c>
      <c r="B496" t="s">
        <v>1197</v>
      </c>
      <c r="C496" t="s">
        <v>494</v>
      </c>
      <c r="D496" t="s">
        <v>168</v>
      </c>
      <c r="E496" t="s">
        <v>37</v>
      </c>
      <c r="F496">
        <v>28</v>
      </c>
      <c r="G496" t="s">
        <v>57</v>
      </c>
      <c r="H496" t="s">
        <v>57</v>
      </c>
      <c r="I496" t="s">
        <v>58</v>
      </c>
      <c r="J496" t="s">
        <v>78</v>
      </c>
      <c r="K496" t="s">
        <v>79</v>
      </c>
      <c r="L496" t="s">
        <v>80</v>
      </c>
      <c r="M496">
        <v>4</v>
      </c>
      <c r="N496">
        <v>1800</v>
      </c>
      <c r="O496">
        <v>5</v>
      </c>
      <c r="P496">
        <v>6840</v>
      </c>
      <c r="Q496">
        <v>1503.41</v>
      </c>
      <c r="R496" t="s">
        <v>59</v>
      </c>
      <c r="S496" t="s">
        <v>51</v>
      </c>
      <c r="T496" t="s">
        <v>93</v>
      </c>
    </row>
    <row r="497" spans="1:20" x14ac:dyDescent="0.35">
      <c r="A497" t="s">
        <v>1198</v>
      </c>
      <c r="B497" t="s">
        <v>130</v>
      </c>
      <c r="C497" t="s">
        <v>631</v>
      </c>
      <c r="D497" t="s">
        <v>694</v>
      </c>
      <c r="E497" t="s">
        <v>23</v>
      </c>
      <c r="F497">
        <v>41</v>
      </c>
      <c r="G497" t="s">
        <v>114</v>
      </c>
      <c r="H497" t="s">
        <v>115</v>
      </c>
      <c r="I497" t="s">
        <v>88</v>
      </c>
      <c r="J497" t="s">
        <v>47</v>
      </c>
      <c r="K497" t="s">
        <v>48</v>
      </c>
      <c r="L497" t="s">
        <v>49</v>
      </c>
      <c r="M497">
        <v>2</v>
      </c>
      <c r="N497">
        <v>150</v>
      </c>
      <c r="O497">
        <v>15</v>
      </c>
      <c r="P497">
        <v>255</v>
      </c>
      <c r="Q497">
        <v>58.62</v>
      </c>
      <c r="R497" t="s">
        <v>41</v>
      </c>
      <c r="S497" t="s">
        <v>92</v>
      </c>
      <c r="T497" t="s">
        <v>117</v>
      </c>
    </row>
    <row r="498" spans="1:20" x14ac:dyDescent="0.35">
      <c r="A498" t="s">
        <v>1199</v>
      </c>
      <c r="B498" t="s">
        <v>162</v>
      </c>
      <c r="C498" t="s">
        <v>689</v>
      </c>
      <c r="D498" t="s">
        <v>654</v>
      </c>
      <c r="E498" t="s">
        <v>37</v>
      </c>
      <c r="F498">
        <v>20</v>
      </c>
      <c r="G498" t="s">
        <v>114</v>
      </c>
      <c r="H498" t="s">
        <v>115</v>
      </c>
      <c r="I498" t="s">
        <v>88</v>
      </c>
      <c r="J498" t="s">
        <v>27</v>
      </c>
      <c r="K498" t="s">
        <v>28</v>
      </c>
      <c r="L498" t="s">
        <v>40</v>
      </c>
      <c r="M498">
        <v>3</v>
      </c>
      <c r="N498">
        <v>2500</v>
      </c>
      <c r="O498">
        <v>20</v>
      </c>
      <c r="P498">
        <v>6000</v>
      </c>
      <c r="Q498">
        <v>1471.92</v>
      </c>
      <c r="R498" t="s">
        <v>30</v>
      </c>
      <c r="S498" t="s">
        <v>51</v>
      </c>
      <c r="T498" t="s">
        <v>117</v>
      </c>
    </row>
    <row r="499" spans="1:20" x14ac:dyDescent="0.35">
      <c r="A499" t="s">
        <v>1200</v>
      </c>
      <c r="B499" t="s">
        <v>1201</v>
      </c>
      <c r="C499" t="s">
        <v>1103</v>
      </c>
      <c r="D499" t="s">
        <v>85</v>
      </c>
      <c r="E499" t="s">
        <v>37</v>
      </c>
      <c r="F499">
        <v>60</v>
      </c>
      <c r="G499" t="s">
        <v>98</v>
      </c>
      <c r="H499" t="s">
        <v>99</v>
      </c>
      <c r="I499" t="s">
        <v>100</v>
      </c>
      <c r="J499" t="s">
        <v>89</v>
      </c>
      <c r="K499" t="s">
        <v>90</v>
      </c>
      <c r="L499" t="s">
        <v>128</v>
      </c>
      <c r="M499">
        <v>2</v>
      </c>
      <c r="N499">
        <v>7000</v>
      </c>
      <c r="O499">
        <v>5</v>
      </c>
      <c r="P499">
        <v>13300</v>
      </c>
      <c r="Q499">
        <v>3443.58</v>
      </c>
      <c r="R499" t="s">
        <v>81</v>
      </c>
      <c r="S499" t="s">
        <v>51</v>
      </c>
      <c r="T499" t="s">
        <v>65</v>
      </c>
    </row>
    <row r="500" spans="1:20" x14ac:dyDescent="0.35">
      <c r="A500" t="s">
        <v>1202</v>
      </c>
      <c r="B500" t="s">
        <v>1203</v>
      </c>
      <c r="C500" t="s">
        <v>736</v>
      </c>
      <c r="D500" t="s">
        <v>543</v>
      </c>
      <c r="E500" t="s">
        <v>37</v>
      </c>
      <c r="F500">
        <v>47</v>
      </c>
      <c r="G500" t="s">
        <v>126</v>
      </c>
      <c r="H500" t="s">
        <v>127</v>
      </c>
      <c r="I500" t="s">
        <v>88</v>
      </c>
      <c r="J500" t="s">
        <v>78</v>
      </c>
      <c r="K500" t="s">
        <v>79</v>
      </c>
      <c r="L500" t="s">
        <v>156</v>
      </c>
      <c r="M500">
        <v>2</v>
      </c>
      <c r="N500">
        <v>800</v>
      </c>
      <c r="O500">
        <v>5</v>
      </c>
      <c r="P500">
        <v>1520</v>
      </c>
      <c r="Q500">
        <v>417.38</v>
      </c>
      <c r="R500" t="s">
        <v>81</v>
      </c>
      <c r="S500" t="s">
        <v>51</v>
      </c>
      <c r="T500" t="s">
        <v>52</v>
      </c>
    </row>
    <row r="501" spans="1:20" x14ac:dyDescent="0.35">
      <c r="A501" t="s">
        <v>1204</v>
      </c>
      <c r="B501" t="s">
        <v>304</v>
      </c>
      <c r="C501" t="s">
        <v>1205</v>
      </c>
      <c r="D501" t="s">
        <v>348</v>
      </c>
      <c r="E501" t="s">
        <v>23</v>
      </c>
      <c r="F501">
        <v>59</v>
      </c>
      <c r="G501" t="s">
        <v>126</v>
      </c>
      <c r="H501" t="s">
        <v>127</v>
      </c>
      <c r="I501" t="s">
        <v>88</v>
      </c>
      <c r="J501" t="s">
        <v>27</v>
      </c>
      <c r="K501" t="s">
        <v>28</v>
      </c>
      <c r="L501" t="s">
        <v>73</v>
      </c>
      <c r="M501">
        <v>4</v>
      </c>
      <c r="N501">
        <v>25000</v>
      </c>
      <c r="O501">
        <v>0</v>
      </c>
      <c r="P501">
        <v>100000</v>
      </c>
      <c r="Q501">
        <v>9260.35</v>
      </c>
      <c r="R501" t="s">
        <v>41</v>
      </c>
      <c r="S501" t="s">
        <v>92</v>
      </c>
      <c r="T501" t="s">
        <v>60</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5A1F-FF77-4C94-AF9A-B634F6D62C9E}">
  <dimension ref="A1:V501"/>
  <sheetViews>
    <sheetView workbookViewId="0">
      <pane ySplit="1" topLeftCell="A408" activePane="bottomLeft" state="frozen"/>
      <selection activeCell="E16" sqref="E16"/>
      <selection pane="bottomLeft" activeCell="D508" sqref="D508"/>
    </sheetView>
  </sheetViews>
  <sheetFormatPr defaultRowHeight="14.5" x14ac:dyDescent="0.35"/>
  <cols>
    <col min="1" max="1" width="10.81640625" bestFit="1" customWidth="1"/>
    <col min="2" max="2" width="17.1796875" style="5" customWidth="1"/>
    <col min="3" max="3" width="14.1796875" bestFit="1" customWidth="1"/>
    <col min="4" max="4" width="14.1796875" customWidth="1"/>
    <col min="5" max="5" width="17.26953125" bestFit="1" customWidth="1"/>
    <col min="6" max="6" width="15.453125" customWidth="1"/>
    <col min="7" max="7" width="6.1796875" bestFit="1" customWidth="1"/>
    <col min="8" max="8" width="11" bestFit="1" customWidth="1"/>
    <col min="9" max="9" width="11.54296875" bestFit="1" customWidth="1"/>
    <col min="11" max="11" width="13.1796875" bestFit="1" customWidth="1"/>
    <col min="12" max="12" width="14.54296875" bestFit="1" customWidth="1"/>
    <col min="13" max="13" width="15.7265625" bestFit="1" customWidth="1"/>
    <col min="14" max="14" width="10.453125" bestFit="1" customWidth="1"/>
    <col min="15" max="15" width="11.7265625" bestFit="1" customWidth="1"/>
    <col min="16" max="16" width="10.453125" bestFit="1" customWidth="1"/>
    <col min="17" max="17" width="7.26953125" bestFit="1" customWidth="1"/>
    <col min="18" max="18" width="8.81640625" bestFit="1" customWidth="1"/>
    <col min="19" max="19" width="18.453125" bestFit="1" customWidth="1"/>
    <col min="20" max="20" width="14.26953125" bestFit="1" customWidth="1"/>
    <col min="21" max="21" width="13.1796875" bestFit="1" customWidth="1"/>
  </cols>
  <sheetData>
    <row r="1" spans="1:22" x14ac:dyDescent="0.35">
      <c r="A1" t="s">
        <v>0</v>
      </c>
      <c r="B1" s="5" t="s">
        <v>1</v>
      </c>
      <c r="C1" s="5" t="s">
        <v>1206</v>
      </c>
      <c r="D1" s="5" t="s">
        <v>1207</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row>
    <row r="2" spans="1:22" x14ac:dyDescent="0.35">
      <c r="A2" t="s">
        <v>20</v>
      </c>
      <c r="B2" s="5">
        <v>45806</v>
      </c>
      <c r="C2" s="5" t="str">
        <f>TEXT(B2,"YYYY")</f>
        <v>2025</v>
      </c>
      <c r="D2" s="5" t="str">
        <f t="shared" ref="D2:D65" si="0">TEXT(B2,"mmmm")</f>
        <v>May</v>
      </c>
      <c r="E2" t="s">
        <v>21</v>
      </c>
      <c r="F2" t="s">
        <v>22</v>
      </c>
      <c r="G2" t="s">
        <v>23</v>
      </c>
      <c r="H2">
        <v>50</v>
      </c>
      <c r="I2" t="s">
        <v>24</v>
      </c>
      <c r="J2" t="s">
        <v>25</v>
      </c>
      <c r="K2" t="s">
        <v>26</v>
      </c>
      <c r="L2" t="s">
        <v>27</v>
      </c>
      <c r="M2" t="s">
        <v>28</v>
      </c>
      <c r="N2" t="s">
        <v>29</v>
      </c>
      <c r="O2">
        <v>4</v>
      </c>
      <c r="P2">
        <v>12000</v>
      </c>
      <c r="Q2">
        <v>0</v>
      </c>
      <c r="R2">
        <v>48000</v>
      </c>
      <c r="S2">
        <v>9953.11</v>
      </c>
      <c r="T2" t="s">
        <v>30</v>
      </c>
      <c r="U2" t="s">
        <v>31</v>
      </c>
      <c r="V2" t="s">
        <v>32</v>
      </c>
    </row>
    <row r="3" spans="1:22" x14ac:dyDescent="0.35">
      <c r="A3" t="s">
        <v>33</v>
      </c>
      <c r="B3" s="5">
        <v>45807</v>
      </c>
      <c r="C3" s="5" t="str">
        <f t="shared" ref="C3:C66" si="1">TEXT(B3,"YYYY")</f>
        <v>2025</v>
      </c>
      <c r="D3" s="5" t="str">
        <f t="shared" si="0"/>
        <v>May</v>
      </c>
      <c r="E3" t="s">
        <v>35</v>
      </c>
      <c r="F3" t="s">
        <v>36</v>
      </c>
      <c r="G3" t="s">
        <v>37</v>
      </c>
      <c r="H3">
        <v>48</v>
      </c>
      <c r="I3" t="s">
        <v>38</v>
      </c>
      <c r="J3" t="s">
        <v>39</v>
      </c>
      <c r="K3" t="s">
        <v>26</v>
      </c>
      <c r="L3" t="s">
        <v>27</v>
      </c>
      <c r="M3" t="s">
        <v>28</v>
      </c>
      <c r="N3" t="s">
        <v>40</v>
      </c>
      <c r="O3">
        <v>4</v>
      </c>
      <c r="P3">
        <v>2500</v>
      </c>
      <c r="Q3">
        <v>0</v>
      </c>
      <c r="R3">
        <v>10000</v>
      </c>
      <c r="S3">
        <v>2319.7600000000002</v>
      </c>
      <c r="T3" t="s">
        <v>41</v>
      </c>
      <c r="U3" t="s">
        <v>31</v>
      </c>
      <c r="V3" t="s">
        <v>32</v>
      </c>
    </row>
    <row r="4" spans="1:22" x14ac:dyDescent="0.35">
      <c r="A4" t="s">
        <v>42</v>
      </c>
      <c r="B4" s="5">
        <v>45808</v>
      </c>
      <c r="C4" s="5" t="str">
        <f t="shared" si="1"/>
        <v>2025</v>
      </c>
      <c r="D4" s="5" t="str">
        <f t="shared" si="0"/>
        <v>May</v>
      </c>
      <c r="E4" t="s">
        <v>44</v>
      </c>
      <c r="F4" t="s">
        <v>45</v>
      </c>
      <c r="G4" t="s">
        <v>37</v>
      </c>
      <c r="H4">
        <v>32</v>
      </c>
      <c r="I4" t="s">
        <v>46</v>
      </c>
      <c r="J4" t="s">
        <v>25</v>
      </c>
      <c r="K4" t="s">
        <v>26</v>
      </c>
      <c r="L4" t="s">
        <v>47</v>
      </c>
      <c r="M4" t="s">
        <v>48</v>
      </c>
      <c r="N4" t="s">
        <v>49</v>
      </c>
      <c r="O4">
        <v>3</v>
      </c>
      <c r="P4">
        <v>150</v>
      </c>
      <c r="Q4">
        <v>0</v>
      </c>
      <c r="R4">
        <v>450</v>
      </c>
      <c r="S4">
        <v>96</v>
      </c>
      <c r="T4" t="s">
        <v>50</v>
      </c>
      <c r="U4" t="s">
        <v>51</v>
      </c>
      <c r="V4" t="s">
        <v>52</v>
      </c>
    </row>
    <row r="5" spans="1:22" x14ac:dyDescent="0.35">
      <c r="A5" t="s">
        <v>53</v>
      </c>
      <c r="B5" s="5">
        <v>45809</v>
      </c>
      <c r="C5" s="5" t="str">
        <f t="shared" si="1"/>
        <v>2025</v>
      </c>
      <c r="D5" s="5" t="str">
        <f t="shared" si="0"/>
        <v>June</v>
      </c>
      <c r="E5" t="s">
        <v>55</v>
      </c>
      <c r="F5" t="s">
        <v>56</v>
      </c>
      <c r="G5" t="s">
        <v>37</v>
      </c>
      <c r="H5">
        <v>53</v>
      </c>
      <c r="I5" t="s">
        <v>57</v>
      </c>
      <c r="J5" t="s">
        <v>57</v>
      </c>
      <c r="K5" t="s">
        <v>58</v>
      </c>
      <c r="L5" t="s">
        <v>27</v>
      </c>
      <c r="M5" t="s">
        <v>28</v>
      </c>
      <c r="N5" t="s">
        <v>29</v>
      </c>
      <c r="O5">
        <v>1</v>
      </c>
      <c r="P5">
        <v>12000</v>
      </c>
      <c r="Q5">
        <v>10</v>
      </c>
      <c r="R5">
        <v>10800</v>
      </c>
      <c r="S5">
        <v>2357.61</v>
      </c>
      <c r="T5" t="s">
        <v>59</v>
      </c>
      <c r="U5" t="s">
        <v>31</v>
      </c>
      <c r="V5" t="s">
        <v>60</v>
      </c>
    </row>
    <row r="6" spans="1:22" x14ac:dyDescent="0.35">
      <c r="A6" t="s">
        <v>61</v>
      </c>
      <c r="B6" s="5">
        <v>45810</v>
      </c>
      <c r="C6" s="5" t="str">
        <f t="shared" si="1"/>
        <v>2025</v>
      </c>
      <c r="D6" s="5" t="str">
        <f t="shared" si="0"/>
        <v>June</v>
      </c>
      <c r="E6" t="s">
        <v>63</v>
      </c>
      <c r="F6" t="s">
        <v>64</v>
      </c>
      <c r="G6" t="s">
        <v>37</v>
      </c>
      <c r="H6">
        <v>40</v>
      </c>
      <c r="I6" t="s">
        <v>57</v>
      </c>
      <c r="J6" t="s">
        <v>57</v>
      </c>
      <c r="K6" t="s">
        <v>58</v>
      </c>
      <c r="L6" t="s">
        <v>47</v>
      </c>
      <c r="M6" t="s">
        <v>48</v>
      </c>
      <c r="N6" t="s">
        <v>49</v>
      </c>
      <c r="O6">
        <v>3</v>
      </c>
      <c r="P6">
        <v>150</v>
      </c>
      <c r="Q6">
        <v>10</v>
      </c>
      <c r="R6">
        <v>405</v>
      </c>
      <c r="S6">
        <v>66.099999999999994</v>
      </c>
      <c r="T6" t="s">
        <v>50</v>
      </c>
      <c r="U6" t="s">
        <v>51</v>
      </c>
      <c r="V6" t="s">
        <v>65</v>
      </c>
    </row>
    <row r="7" spans="1:22" x14ac:dyDescent="0.35">
      <c r="A7" t="s">
        <v>66</v>
      </c>
      <c r="B7" s="5">
        <v>45811</v>
      </c>
      <c r="C7" s="5" t="str">
        <f t="shared" si="1"/>
        <v>2025</v>
      </c>
      <c r="D7" s="5" t="str">
        <f t="shared" si="0"/>
        <v>June</v>
      </c>
      <c r="E7" t="s">
        <v>68</v>
      </c>
      <c r="F7" t="s">
        <v>69</v>
      </c>
      <c r="G7" t="s">
        <v>37</v>
      </c>
      <c r="H7">
        <v>51</v>
      </c>
      <c r="I7" t="s">
        <v>38</v>
      </c>
      <c r="J7" t="s">
        <v>39</v>
      </c>
      <c r="K7" t="s">
        <v>26</v>
      </c>
      <c r="L7" t="s">
        <v>27</v>
      </c>
      <c r="M7" t="s">
        <v>28</v>
      </c>
      <c r="N7" t="s">
        <v>40</v>
      </c>
      <c r="O7">
        <v>2</v>
      </c>
      <c r="P7">
        <v>2500</v>
      </c>
      <c r="Q7">
        <v>5</v>
      </c>
      <c r="R7">
        <v>4750</v>
      </c>
      <c r="S7">
        <v>604.80999999999995</v>
      </c>
      <c r="T7" t="s">
        <v>59</v>
      </c>
      <c r="U7" t="s">
        <v>51</v>
      </c>
      <c r="V7" t="s">
        <v>65</v>
      </c>
    </row>
    <row r="8" spans="1:22" x14ac:dyDescent="0.35">
      <c r="A8" t="s">
        <v>70</v>
      </c>
      <c r="B8" s="5">
        <v>45690</v>
      </c>
      <c r="C8" s="5" t="str">
        <f t="shared" si="1"/>
        <v>2025</v>
      </c>
      <c r="D8" s="5" t="str">
        <f t="shared" si="0"/>
        <v>February</v>
      </c>
      <c r="E8" t="s">
        <v>63</v>
      </c>
      <c r="F8" t="s">
        <v>72</v>
      </c>
      <c r="G8" t="s">
        <v>23</v>
      </c>
      <c r="H8">
        <v>20</v>
      </c>
      <c r="I8" t="s">
        <v>24</v>
      </c>
      <c r="J8" t="s">
        <v>25</v>
      </c>
      <c r="K8" t="s">
        <v>26</v>
      </c>
      <c r="L8" t="s">
        <v>27</v>
      </c>
      <c r="M8" t="s">
        <v>28</v>
      </c>
      <c r="N8" t="s">
        <v>73</v>
      </c>
      <c r="O8">
        <v>1</v>
      </c>
      <c r="P8">
        <v>25000</v>
      </c>
      <c r="Q8">
        <v>0</v>
      </c>
      <c r="R8">
        <v>25000</v>
      </c>
      <c r="S8">
        <v>5881.37</v>
      </c>
      <c r="T8" t="s">
        <v>59</v>
      </c>
      <c r="U8" t="s">
        <v>31</v>
      </c>
      <c r="V8" t="s">
        <v>52</v>
      </c>
    </row>
    <row r="9" spans="1:22" x14ac:dyDescent="0.35">
      <c r="A9" t="s">
        <v>74</v>
      </c>
      <c r="B9" s="5">
        <v>45553</v>
      </c>
      <c r="C9" s="5" t="str">
        <f t="shared" si="1"/>
        <v>2024</v>
      </c>
      <c r="D9" s="5" t="str">
        <f t="shared" si="0"/>
        <v>September</v>
      </c>
      <c r="E9" t="s">
        <v>76</v>
      </c>
      <c r="F9" t="s">
        <v>77</v>
      </c>
      <c r="G9" t="s">
        <v>37</v>
      </c>
      <c r="H9">
        <v>34</v>
      </c>
      <c r="I9" t="s">
        <v>46</v>
      </c>
      <c r="J9" t="s">
        <v>25</v>
      </c>
      <c r="K9" t="s">
        <v>26</v>
      </c>
      <c r="L9" t="s">
        <v>78</v>
      </c>
      <c r="M9" t="s">
        <v>79</v>
      </c>
      <c r="N9" t="s">
        <v>80</v>
      </c>
      <c r="O9">
        <v>2</v>
      </c>
      <c r="P9">
        <v>1800</v>
      </c>
      <c r="Q9">
        <v>5</v>
      </c>
      <c r="R9">
        <v>3420</v>
      </c>
      <c r="S9">
        <v>485.27</v>
      </c>
      <c r="T9" t="s">
        <v>81</v>
      </c>
      <c r="U9" t="s">
        <v>31</v>
      </c>
      <c r="V9" t="s">
        <v>60</v>
      </c>
    </row>
    <row r="10" spans="1:22" x14ac:dyDescent="0.35">
      <c r="A10" t="s">
        <v>82</v>
      </c>
      <c r="B10" s="5">
        <v>45691</v>
      </c>
      <c r="C10" s="5" t="str">
        <f t="shared" si="1"/>
        <v>2025</v>
      </c>
      <c r="D10" s="5" t="str">
        <f t="shared" si="0"/>
        <v>February</v>
      </c>
      <c r="E10" t="s">
        <v>84</v>
      </c>
      <c r="F10" t="s">
        <v>85</v>
      </c>
      <c r="G10" t="s">
        <v>37</v>
      </c>
      <c r="H10">
        <v>30</v>
      </c>
      <c r="I10" t="s">
        <v>86</v>
      </c>
      <c r="J10" t="s">
        <v>87</v>
      </c>
      <c r="K10" t="s">
        <v>88</v>
      </c>
      <c r="L10" t="s">
        <v>89</v>
      </c>
      <c r="M10" t="s">
        <v>90</v>
      </c>
      <c r="N10" t="s">
        <v>91</v>
      </c>
      <c r="O10">
        <v>4</v>
      </c>
      <c r="P10">
        <v>9000</v>
      </c>
      <c r="Q10">
        <v>0</v>
      </c>
      <c r="R10">
        <v>36000</v>
      </c>
      <c r="S10">
        <v>5033.87</v>
      </c>
      <c r="T10" t="s">
        <v>50</v>
      </c>
      <c r="U10" t="s">
        <v>92</v>
      </c>
      <c r="V10" t="s">
        <v>93</v>
      </c>
    </row>
    <row r="11" spans="1:22" x14ac:dyDescent="0.35">
      <c r="A11" t="s">
        <v>94</v>
      </c>
      <c r="B11" s="5">
        <v>45599</v>
      </c>
      <c r="C11" s="5" t="str">
        <f t="shared" si="1"/>
        <v>2024</v>
      </c>
      <c r="D11" s="5" t="str">
        <f t="shared" si="0"/>
        <v>November</v>
      </c>
      <c r="E11" t="s">
        <v>96</v>
      </c>
      <c r="F11" t="s">
        <v>97</v>
      </c>
      <c r="G11" t="s">
        <v>37</v>
      </c>
      <c r="H11">
        <v>36</v>
      </c>
      <c r="I11" t="s">
        <v>98</v>
      </c>
      <c r="J11" t="s">
        <v>99</v>
      </c>
      <c r="K11" t="s">
        <v>100</v>
      </c>
      <c r="L11" t="s">
        <v>78</v>
      </c>
      <c r="M11" t="s">
        <v>79</v>
      </c>
      <c r="N11" t="s">
        <v>101</v>
      </c>
      <c r="O11">
        <v>5</v>
      </c>
      <c r="P11">
        <v>3500</v>
      </c>
      <c r="Q11">
        <v>15</v>
      </c>
      <c r="R11">
        <v>14875</v>
      </c>
      <c r="S11">
        <v>3672.85</v>
      </c>
      <c r="T11" t="s">
        <v>30</v>
      </c>
      <c r="U11" t="s">
        <v>51</v>
      </c>
      <c r="V11" t="s">
        <v>32</v>
      </c>
    </row>
    <row r="12" spans="1:22" x14ac:dyDescent="0.35">
      <c r="A12" t="s">
        <v>102</v>
      </c>
      <c r="B12" s="5">
        <v>45468</v>
      </c>
      <c r="C12" s="5" t="str">
        <f t="shared" si="1"/>
        <v>2024</v>
      </c>
      <c r="D12" s="5" t="str">
        <f t="shared" si="0"/>
        <v>June</v>
      </c>
      <c r="E12" t="s">
        <v>104</v>
      </c>
      <c r="F12" t="s">
        <v>105</v>
      </c>
      <c r="G12" t="s">
        <v>23</v>
      </c>
      <c r="H12">
        <v>54</v>
      </c>
      <c r="I12" t="s">
        <v>57</v>
      </c>
      <c r="J12" t="s">
        <v>57</v>
      </c>
      <c r="K12" t="s">
        <v>58</v>
      </c>
      <c r="L12" t="s">
        <v>27</v>
      </c>
      <c r="M12" t="s">
        <v>28</v>
      </c>
      <c r="N12" t="s">
        <v>73</v>
      </c>
      <c r="O12">
        <v>3</v>
      </c>
      <c r="P12">
        <v>25000</v>
      </c>
      <c r="Q12">
        <v>15</v>
      </c>
      <c r="R12">
        <v>63750</v>
      </c>
      <c r="S12">
        <v>8034.11</v>
      </c>
      <c r="T12" t="s">
        <v>50</v>
      </c>
      <c r="U12" t="s">
        <v>51</v>
      </c>
      <c r="V12" t="s">
        <v>60</v>
      </c>
    </row>
    <row r="13" spans="1:22" x14ac:dyDescent="0.35">
      <c r="A13" t="s">
        <v>106</v>
      </c>
      <c r="B13" s="5">
        <v>45741</v>
      </c>
      <c r="C13" s="5" t="str">
        <f t="shared" si="1"/>
        <v>2025</v>
      </c>
      <c r="D13" s="5" t="str">
        <f t="shared" si="0"/>
        <v>March</v>
      </c>
      <c r="E13" t="s">
        <v>108</v>
      </c>
      <c r="F13" t="s">
        <v>109</v>
      </c>
      <c r="G13" t="s">
        <v>37</v>
      </c>
      <c r="H13">
        <v>37</v>
      </c>
      <c r="I13" t="s">
        <v>86</v>
      </c>
      <c r="J13" t="s">
        <v>87</v>
      </c>
      <c r="K13" t="s">
        <v>88</v>
      </c>
      <c r="L13" t="s">
        <v>78</v>
      </c>
      <c r="M13" t="s">
        <v>79</v>
      </c>
      <c r="N13" t="s">
        <v>80</v>
      </c>
      <c r="O13">
        <v>3</v>
      </c>
      <c r="P13">
        <v>1800</v>
      </c>
      <c r="Q13">
        <v>0</v>
      </c>
      <c r="R13">
        <v>5400</v>
      </c>
      <c r="S13">
        <v>466.56</v>
      </c>
      <c r="T13" t="s">
        <v>50</v>
      </c>
      <c r="U13" t="s">
        <v>51</v>
      </c>
      <c r="V13" t="s">
        <v>52</v>
      </c>
    </row>
    <row r="14" spans="1:22" x14ac:dyDescent="0.35">
      <c r="A14" t="s">
        <v>110</v>
      </c>
      <c r="B14" s="5">
        <v>45806</v>
      </c>
      <c r="C14" s="5" t="str">
        <f t="shared" si="1"/>
        <v>2025</v>
      </c>
      <c r="D14" s="5" t="str">
        <f t="shared" si="0"/>
        <v>May</v>
      </c>
      <c r="E14" t="s">
        <v>112</v>
      </c>
      <c r="F14" t="s">
        <v>113</v>
      </c>
      <c r="G14" t="s">
        <v>37</v>
      </c>
      <c r="H14">
        <v>29</v>
      </c>
      <c r="I14" t="s">
        <v>114</v>
      </c>
      <c r="J14" t="s">
        <v>115</v>
      </c>
      <c r="K14" t="s">
        <v>88</v>
      </c>
      <c r="L14" t="s">
        <v>47</v>
      </c>
      <c r="M14" t="s">
        <v>48</v>
      </c>
      <c r="N14" t="s">
        <v>116</v>
      </c>
      <c r="O14">
        <v>5</v>
      </c>
      <c r="P14">
        <v>120</v>
      </c>
      <c r="Q14">
        <v>0</v>
      </c>
      <c r="R14">
        <v>600</v>
      </c>
      <c r="S14">
        <v>110.01</v>
      </c>
      <c r="T14" t="s">
        <v>41</v>
      </c>
      <c r="U14" t="s">
        <v>92</v>
      </c>
      <c r="V14" t="s">
        <v>117</v>
      </c>
    </row>
    <row r="15" spans="1:22" x14ac:dyDescent="0.35">
      <c r="A15" t="s">
        <v>118</v>
      </c>
      <c r="B15" s="5">
        <v>45332</v>
      </c>
      <c r="C15" s="5" t="str">
        <f t="shared" si="1"/>
        <v>2024</v>
      </c>
      <c r="D15" s="5" t="str">
        <f t="shared" si="0"/>
        <v>February</v>
      </c>
      <c r="E15" t="s">
        <v>120</v>
      </c>
      <c r="F15" t="s">
        <v>121</v>
      </c>
      <c r="G15" t="s">
        <v>23</v>
      </c>
      <c r="H15">
        <v>40</v>
      </c>
      <c r="I15" t="s">
        <v>24</v>
      </c>
      <c r="J15" t="s">
        <v>25</v>
      </c>
      <c r="K15" t="s">
        <v>26</v>
      </c>
      <c r="L15" t="s">
        <v>47</v>
      </c>
      <c r="M15" t="s">
        <v>48</v>
      </c>
      <c r="N15" t="s">
        <v>116</v>
      </c>
      <c r="O15">
        <v>3</v>
      </c>
      <c r="P15">
        <v>120</v>
      </c>
      <c r="Q15">
        <v>20</v>
      </c>
      <c r="R15">
        <v>288</v>
      </c>
      <c r="S15">
        <v>24.17</v>
      </c>
      <c r="T15" t="s">
        <v>81</v>
      </c>
      <c r="U15" t="s">
        <v>31</v>
      </c>
      <c r="V15" t="s">
        <v>52</v>
      </c>
    </row>
    <row r="16" spans="1:22" x14ac:dyDescent="0.35">
      <c r="A16" t="s">
        <v>122</v>
      </c>
      <c r="B16" s="5">
        <v>45697</v>
      </c>
      <c r="C16" s="5" t="str">
        <f t="shared" si="1"/>
        <v>2025</v>
      </c>
      <c r="D16" s="5" t="str">
        <f t="shared" si="0"/>
        <v>February</v>
      </c>
      <c r="E16" t="s">
        <v>124</v>
      </c>
      <c r="F16" t="s">
        <v>125</v>
      </c>
      <c r="G16" t="s">
        <v>37</v>
      </c>
      <c r="H16">
        <v>42</v>
      </c>
      <c r="I16" t="s">
        <v>126</v>
      </c>
      <c r="J16" t="s">
        <v>127</v>
      </c>
      <c r="K16" t="s">
        <v>88</v>
      </c>
      <c r="L16" t="s">
        <v>89</v>
      </c>
      <c r="M16" t="s">
        <v>90</v>
      </c>
      <c r="N16" t="s">
        <v>128</v>
      </c>
      <c r="O16">
        <v>2</v>
      </c>
      <c r="P16">
        <v>7000</v>
      </c>
      <c r="Q16">
        <v>5</v>
      </c>
      <c r="R16">
        <v>13300</v>
      </c>
      <c r="S16">
        <v>3244.33</v>
      </c>
      <c r="T16" t="s">
        <v>41</v>
      </c>
      <c r="U16" t="s">
        <v>51</v>
      </c>
      <c r="V16" t="s">
        <v>60</v>
      </c>
    </row>
    <row r="17" spans="1:22" x14ac:dyDescent="0.35">
      <c r="A17" t="s">
        <v>129</v>
      </c>
      <c r="B17" s="5">
        <v>45301</v>
      </c>
      <c r="C17" s="5" t="str">
        <f t="shared" si="1"/>
        <v>2024</v>
      </c>
      <c r="D17" s="5" t="str">
        <f t="shared" si="0"/>
        <v>January</v>
      </c>
      <c r="E17" t="s">
        <v>131</v>
      </c>
      <c r="F17" t="s">
        <v>132</v>
      </c>
      <c r="G17" t="s">
        <v>37</v>
      </c>
      <c r="H17">
        <v>47</v>
      </c>
      <c r="I17" t="s">
        <v>24</v>
      </c>
      <c r="J17" t="s">
        <v>25</v>
      </c>
      <c r="K17" t="s">
        <v>26</v>
      </c>
      <c r="L17" t="s">
        <v>89</v>
      </c>
      <c r="M17" t="s">
        <v>90</v>
      </c>
      <c r="N17" t="s">
        <v>128</v>
      </c>
      <c r="O17">
        <v>3</v>
      </c>
      <c r="P17">
        <v>7000</v>
      </c>
      <c r="Q17">
        <v>15</v>
      </c>
      <c r="R17">
        <v>17850</v>
      </c>
      <c r="S17">
        <v>1774.59</v>
      </c>
      <c r="T17" t="s">
        <v>50</v>
      </c>
      <c r="U17" t="s">
        <v>51</v>
      </c>
      <c r="V17" t="s">
        <v>65</v>
      </c>
    </row>
    <row r="18" spans="1:22" x14ac:dyDescent="0.35">
      <c r="A18" t="s">
        <v>133</v>
      </c>
      <c r="B18" s="5">
        <v>45413</v>
      </c>
      <c r="C18" s="5" t="str">
        <f t="shared" si="1"/>
        <v>2024</v>
      </c>
      <c r="D18" s="5" t="str">
        <f t="shared" si="0"/>
        <v>May</v>
      </c>
      <c r="E18" t="s">
        <v>135</v>
      </c>
      <c r="F18" t="s">
        <v>136</v>
      </c>
      <c r="G18" t="s">
        <v>23</v>
      </c>
      <c r="H18">
        <v>29</v>
      </c>
      <c r="I18" t="s">
        <v>57</v>
      </c>
      <c r="J18" t="s">
        <v>57</v>
      </c>
      <c r="K18" t="s">
        <v>58</v>
      </c>
      <c r="L18" t="s">
        <v>27</v>
      </c>
      <c r="M18" t="s">
        <v>28</v>
      </c>
      <c r="N18" t="s">
        <v>29</v>
      </c>
      <c r="O18">
        <v>3</v>
      </c>
      <c r="P18">
        <v>12000</v>
      </c>
      <c r="Q18">
        <v>10</v>
      </c>
      <c r="R18">
        <v>32400</v>
      </c>
      <c r="S18">
        <v>8425.4699999999993</v>
      </c>
      <c r="T18" t="s">
        <v>41</v>
      </c>
      <c r="U18" t="s">
        <v>92</v>
      </c>
      <c r="V18" t="s">
        <v>60</v>
      </c>
    </row>
    <row r="19" spans="1:22" x14ac:dyDescent="0.35">
      <c r="A19" t="s">
        <v>137</v>
      </c>
      <c r="B19" s="5">
        <v>45659</v>
      </c>
      <c r="C19" s="5" t="str">
        <f t="shared" si="1"/>
        <v>2025</v>
      </c>
      <c r="D19" s="5" t="str">
        <f t="shared" si="0"/>
        <v>January</v>
      </c>
      <c r="E19" t="s">
        <v>139</v>
      </c>
      <c r="F19" t="s">
        <v>56</v>
      </c>
      <c r="G19" t="s">
        <v>23</v>
      </c>
      <c r="H19">
        <v>48</v>
      </c>
      <c r="I19" t="s">
        <v>24</v>
      </c>
      <c r="J19" t="s">
        <v>25</v>
      </c>
      <c r="K19" t="s">
        <v>26</v>
      </c>
      <c r="L19" t="s">
        <v>27</v>
      </c>
      <c r="M19" t="s">
        <v>28</v>
      </c>
      <c r="N19" t="s">
        <v>140</v>
      </c>
      <c r="O19">
        <v>5</v>
      </c>
      <c r="P19">
        <v>65000</v>
      </c>
      <c r="Q19">
        <v>20</v>
      </c>
      <c r="R19">
        <v>260000</v>
      </c>
      <c r="S19">
        <v>34866.49</v>
      </c>
      <c r="T19" t="s">
        <v>41</v>
      </c>
      <c r="U19" t="s">
        <v>92</v>
      </c>
      <c r="V19" t="s">
        <v>93</v>
      </c>
    </row>
    <row r="20" spans="1:22" x14ac:dyDescent="0.35">
      <c r="A20" t="s">
        <v>141</v>
      </c>
      <c r="B20" s="5">
        <v>45385</v>
      </c>
      <c r="C20" s="5" t="str">
        <f t="shared" si="1"/>
        <v>2024</v>
      </c>
      <c r="D20" s="5" t="str">
        <f t="shared" si="0"/>
        <v>April</v>
      </c>
      <c r="E20" t="s">
        <v>143</v>
      </c>
      <c r="F20" t="s">
        <v>64</v>
      </c>
      <c r="G20" t="s">
        <v>23</v>
      </c>
      <c r="H20">
        <v>30</v>
      </c>
      <c r="I20" t="s">
        <v>24</v>
      </c>
      <c r="J20" t="s">
        <v>25</v>
      </c>
      <c r="K20" t="s">
        <v>26</v>
      </c>
      <c r="L20" t="s">
        <v>27</v>
      </c>
      <c r="M20" t="s">
        <v>28</v>
      </c>
      <c r="N20" t="s">
        <v>29</v>
      </c>
      <c r="O20">
        <v>2</v>
      </c>
      <c r="P20">
        <v>12000</v>
      </c>
      <c r="Q20">
        <v>5</v>
      </c>
      <c r="R20">
        <v>22800</v>
      </c>
      <c r="S20">
        <v>6098.7</v>
      </c>
      <c r="T20" t="s">
        <v>59</v>
      </c>
      <c r="U20" t="s">
        <v>92</v>
      </c>
      <c r="V20" t="s">
        <v>60</v>
      </c>
    </row>
    <row r="21" spans="1:22" x14ac:dyDescent="0.35">
      <c r="A21" t="s">
        <v>144</v>
      </c>
      <c r="B21" s="5">
        <v>45422</v>
      </c>
      <c r="C21" s="5" t="str">
        <f t="shared" si="1"/>
        <v>2024</v>
      </c>
      <c r="D21" s="5" t="str">
        <f t="shared" si="0"/>
        <v>May</v>
      </c>
      <c r="E21" t="s">
        <v>146</v>
      </c>
      <c r="F21" t="s">
        <v>147</v>
      </c>
      <c r="G21" t="s">
        <v>23</v>
      </c>
      <c r="H21">
        <v>58</v>
      </c>
      <c r="I21" t="s">
        <v>38</v>
      </c>
      <c r="J21" t="s">
        <v>39</v>
      </c>
      <c r="K21" t="s">
        <v>26</v>
      </c>
      <c r="L21" t="s">
        <v>78</v>
      </c>
      <c r="M21" t="s">
        <v>79</v>
      </c>
      <c r="N21" t="s">
        <v>80</v>
      </c>
      <c r="O21">
        <v>3</v>
      </c>
      <c r="P21">
        <v>1800</v>
      </c>
      <c r="Q21">
        <v>10</v>
      </c>
      <c r="R21">
        <v>4860</v>
      </c>
      <c r="S21">
        <v>871.64</v>
      </c>
      <c r="T21" t="s">
        <v>30</v>
      </c>
      <c r="U21" t="s">
        <v>51</v>
      </c>
      <c r="V21" t="s">
        <v>93</v>
      </c>
    </row>
    <row r="22" spans="1:22" x14ac:dyDescent="0.35">
      <c r="A22" t="s">
        <v>148</v>
      </c>
      <c r="B22" s="5">
        <v>45572</v>
      </c>
      <c r="C22" s="5" t="str">
        <f t="shared" si="1"/>
        <v>2024</v>
      </c>
      <c r="D22" s="5" t="str">
        <f t="shared" si="0"/>
        <v>October</v>
      </c>
      <c r="E22" t="s">
        <v>150</v>
      </c>
      <c r="F22" t="s">
        <v>151</v>
      </c>
      <c r="G22" t="s">
        <v>23</v>
      </c>
      <c r="H22">
        <v>53</v>
      </c>
      <c r="I22" t="s">
        <v>57</v>
      </c>
      <c r="J22" t="s">
        <v>57</v>
      </c>
      <c r="K22" t="s">
        <v>58</v>
      </c>
      <c r="L22" t="s">
        <v>89</v>
      </c>
      <c r="M22" t="s">
        <v>90</v>
      </c>
      <c r="N22" t="s">
        <v>91</v>
      </c>
      <c r="O22">
        <v>3</v>
      </c>
      <c r="P22">
        <v>9000</v>
      </c>
      <c r="Q22">
        <v>15</v>
      </c>
      <c r="R22">
        <v>22950</v>
      </c>
      <c r="S22">
        <v>2841.32</v>
      </c>
      <c r="T22" t="s">
        <v>41</v>
      </c>
      <c r="U22" t="s">
        <v>31</v>
      </c>
      <c r="V22" t="s">
        <v>117</v>
      </c>
    </row>
    <row r="23" spans="1:22" x14ac:dyDescent="0.35">
      <c r="A23" t="s">
        <v>152</v>
      </c>
      <c r="B23" s="5">
        <v>45368</v>
      </c>
      <c r="C23" s="5" t="str">
        <f t="shared" si="1"/>
        <v>2024</v>
      </c>
      <c r="D23" s="5" t="str">
        <f t="shared" si="0"/>
        <v>March</v>
      </c>
      <c r="E23" t="s">
        <v>154</v>
      </c>
      <c r="F23" t="s">
        <v>155</v>
      </c>
      <c r="G23" t="s">
        <v>37</v>
      </c>
      <c r="H23">
        <v>33</v>
      </c>
      <c r="I23" t="s">
        <v>46</v>
      </c>
      <c r="J23" t="s">
        <v>25</v>
      </c>
      <c r="K23" t="s">
        <v>26</v>
      </c>
      <c r="L23" t="s">
        <v>78</v>
      </c>
      <c r="M23" t="s">
        <v>79</v>
      </c>
      <c r="N23" t="s">
        <v>156</v>
      </c>
      <c r="O23">
        <v>5</v>
      </c>
      <c r="P23">
        <v>800</v>
      </c>
      <c r="Q23">
        <v>5</v>
      </c>
      <c r="R23">
        <v>3800</v>
      </c>
      <c r="S23">
        <v>877.29</v>
      </c>
      <c r="T23" t="s">
        <v>30</v>
      </c>
      <c r="U23" t="s">
        <v>51</v>
      </c>
      <c r="V23" t="s">
        <v>65</v>
      </c>
    </row>
    <row r="24" spans="1:22" x14ac:dyDescent="0.35">
      <c r="A24" t="s">
        <v>157</v>
      </c>
      <c r="B24" s="5">
        <v>45603</v>
      </c>
      <c r="C24" s="5" t="str">
        <f t="shared" si="1"/>
        <v>2024</v>
      </c>
      <c r="D24" s="5" t="str">
        <f t="shared" si="0"/>
        <v>November</v>
      </c>
      <c r="E24" t="s">
        <v>159</v>
      </c>
      <c r="F24" t="s">
        <v>160</v>
      </c>
      <c r="G24" t="s">
        <v>23</v>
      </c>
      <c r="H24">
        <v>45</v>
      </c>
      <c r="I24" t="s">
        <v>46</v>
      </c>
      <c r="J24" t="s">
        <v>25</v>
      </c>
      <c r="K24" t="s">
        <v>26</v>
      </c>
      <c r="L24" t="s">
        <v>78</v>
      </c>
      <c r="M24" t="s">
        <v>79</v>
      </c>
      <c r="N24" t="s">
        <v>101</v>
      </c>
      <c r="O24">
        <v>5</v>
      </c>
      <c r="P24">
        <v>3500</v>
      </c>
      <c r="Q24">
        <v>20</v>
      </c>
      <c r="R24">
        <v>14000</v>
      </c>
      <c r="S24">
        <v>3579.52</v>
      </c>
      <c r="T24" t="s">
        <v>59</v>
      </c>
      <c r="U24" t="s">
        <v>31</v>
      </c>
      <c r="V24" t="s">
        <v>32</v>
      </c>
    </row>
    <row r="25" spans="1:22" x14ac:dyDescent="0.35">
      <c r="A25" t="s">
        <v>161</v>
      </c>
      <c r="B25" s="5">
        <v>45465</v>
      </c>
      <c r="C25" s="5" t="str">
        <f t="shared" si="1"/>
        <v>2024</v>
      </c>
      <c r="D25" s="5" t="str">
        <f t="shared" si="0"/>
        <v>June</v>
      </c>
      <c r="E25" t="s">
        <v>163</v>
      </c>
      <c r="F25" t="s">
        <v>164</v>
      </c>
      <c r="G25" t="s">
        <v>23</v>
      </c>
      <c r="H25">
        <v>57</v>
      </c>
      <c r="I25" t="s">
        <v>57</v>
      </c>
      <c r="J25" t="s">
        <v>57</v>
      </c>
      <c r="K25" t="s">
        <v>58</v>
      </c>
      <c r="L25" t="s">
        <v>47</v>
      </c>
      <c r="M25" t="s">
        <v>48</v>
      </c>
      <c r="N25" t="s">
        <v>49</v>
      </c>
      <c r="O25">
        <v>2</v>
      </c>
      <c r="P25">
        <v>150</v>
      </c>
      <c r="Q25">
        <v>0</v>
      </c>
      <c r="R25">
        <v>300</v>
      </c>
      <c r="S25">
        <v>25.18</v>
      </c>
      <c r="T25" t="s">
        <v>81</v>
      </c>
      <c r="U25" t="s">
        <v>92</v>
      </c>
      <c r="V25" t="s">
        <v>93</v>
      </c>
    </row>
    <row r="26" spans="1:22" x14ac:dyDescent="0.35">
      <c r="A26" t="s">
        <v>165</v>
      </c>
      <c r="B26" s="5">
        <v>45687</v>
      </c>
      <c r="C26" s="5" t="str">
        <f t="shared" si="1"/>
        <v>2025</v>
      </c>
      <c r="D26" s="5" t="str">
        <f t="shared" si="0"/>
        <v>January</v>
      </c>
      <c r="E26" t="s">
        <v>167</v>
      </c>
      <c r="F26" t="s">
        <v>168</v>
      </c>
      <c r="G26" t="s">
        <v>37</v>
      </c>
      <c r="H26">
        <v>46</v>
      </c>
      <c r="I26" t="s">
        <v>57</v>
      </c>
      <c r="J26" t="s">
        <v>57</v>
      </c>
      <c r="K26" t="s">
        <v>58</v>
      </c>
      <c r="L26" t="s">
        <v>78</v>
      </c>
      <c r="M26" t="s">
        <v>79</v>
      </c>
      <c r="N26" t="s">
        <v>80</v>
      </c>
      <c r="O26">
        <v>3</v>
      </c>
      <c r="P26">
        <v>1800</v>
      </c>
      <c r="Q26">
        <v>20</v>
      </c>
      <c r="R26">
        <v>4320</v>
      </c>
      <c r="S26">
        <v>994.47</v>
      </c>
      <c r="T26" t="s">
        <v>50</v>
      </c>
      <c r="U26" t="s">
        <v>51</v>
      </c>
      <c r="V26" t="s">
        <v>93</v>
      </c>
    </row>
    <row r="27" spans="1:22" x14ac:dyDescent="0.35">
      <c r="A27" t="s">
        <v>169</v>
      </c>
      <c r="B27" s="5">
        <v>45449</v>
      </c>
      <c r="C27" s="5" t="str">
        <f t="shared" si="1"/>
        <v>2024</v>
      </c>
      <c r="D27" s="5" t="str">
        <f t="shared" si="0"/>
        <v>June</v>
      </c>
      <c r="E27" t="s">
        <v>171</v>
      </c>
      <c r="F27" t="s">
        <v>125</v>
      </c>
      <c r="G27" t="s">
        <v>23</v>
      </c>
      <c r="H27">
        <v>37</v>
      </c>
      <c r="I27" t="s">
        <v>24</v>
      </c>
      <c r="J27" t="s">
        <v>25</v>
      </c>
      <c r="K27" t="s">
        <v>26</v>
      </c>
      <c r="L27" t="s">
        <v>89</v>
      </c>
      <c r="M27" t="s">
        <v>90</v>
      </c>
      <c r="N27" t="s">
        <v>91</v>
      </c>
      <c r="O27">
        <v>3</v>
      </c>
      <c r="P27">
        <v>9000</v>
      </c>
      <c r="Q27">
        <v>15</v>
      </c>
      <c r="R27">
        <v>22950</v>
      </c>
      <c r="S27">
        <v>2429.62</v>
      </c>
      <c r="T27" t="s">
        <v>50</v>
      </c>
      <c r="U27" t="s">
        <v>51</v>
      </c>
      <c r="V27" t="s">
        <v>65</v>
      </c>
    </row>
    <row r="28" spans="1:22" x14ac:dyDescent="0.35">
      <c r="A28" t="s">
        <v>172</v>
      </c>
      <c r="B28" s="5">
        <v>45354</v>
      </c>
      <c r="C28" s="5" t="str">
        <f t="shared" si="1"/>
        <v>2024</v>
      </c>
      <c r="D28" s="5" t="str">
        <f t="shared" si="0"/>
        <v>March</v>
      </c>
      <c r="E28" t="s">
        <v>174</v>
      </c>
      <c r="F28" t="s">
        <v>175</v>
      </c>
      <c r="G28" t="s">
        <v>37</v>
      </c>
      <c r="H28">
        <v>41</v>
      </c>
      <c r="I28" t="s">
        <v>46</v>
      </c>
      <c r="J28" t="s">
        <v>25</v>
      </c>
      <c r="K28" t="s">
        <v>26</v>
      </c>
      <c r="L28" t="s">
        <v>78</v>
      </c>
      <c r="M28" t="s">
        <v>79</v>
      </c>
      <c r="N28" t="s">
        <v>101</v>
      </c>
      <c r="O28">
        <v>4</v>
      </c>
      <c r="P28">
        <v>3500</v>
      </c>
      <c r="Q28">
        <v>0</v>
      </c>
      <c r="R28">
        <v>14000</v>
      </c>
      <c r="S28">
        <v>1621.56</v>
      </c>
      <c r="T28" t="s">
        <v>41</v>
      </c>
      <c r="U28" t="s">
        <v>92</v>
      </c>
      <c r="V28" t="s">
        <v>32</v>
      </c>
    </row>
    <row r="29" spans="1:22" x14ac:dyDescent="0.35">
      <c r="A29" t="s">
        <v>176</v>
      </c>
      <c r="B29" s="5">
        <v>45467</v>
      </c>
      <c r="C29" s="5" t="str">
        <f t="shared" si="1"/>
        <v>2024</v>
      </c>
      <c r="D29" s="5" t="str">
        <f t="shared" si="0"/>
        <v>June</v>
      </c>
      <c r="E29" t="s">
        <v>178</v>
      </c>
      <c r="F29" t="s">
        <v>179</v>
      </c>
      <c r="G29" t="s">
        <v>23</v>
      </c>
      <c r="H29">
        <v>44</v>
      </c>
      <c r="I29" t="s">
        <v>98</v>
      </c>
      <c r="J29" t="s">
        <v>99</v>
      </c>
      <c r="K29" t="s">
        <v>100</v>
      </c>
      <c r="L29" t="s">
        <v>27</v>
      </c>
      <c r="M29" t="s">
        <v>28</v>
      </c>
      <c r="N29" t="s">
        <v>140</v>
      </c>
      <c r="O29">
        <v>5</v>
      </c>
      <c r="P29">
        <v>65000</v>
      </c>
      <c r="Q29">
        <v>0</v>
      </c>
      <c r="R29">
        <v>325000</v>
      </c>
      <c r="S29">
        <v>87918.04</v>
      </c>
      <c r="T29" t="s">
        <v>59</v>
      </c>
      <c r="U29" t="s">
        <v>31</v>
      </c>
      <c r="V29" t="s">
        <v>32</v>
      </c>
    </row>
    <row r="30" spans="1:22" x14ac:dyDescent="0.35">
      <c r="A30" t="s">
        <v>180</v>
      </c>
      <c r="B30" s="5">
        <v>45688</v>
      </c>
      <c r="C30" s="5" t="str">
        <f t="shared" si="1"/>
        <v>2025</v>
      </c>
      <c r="D30" s="5" t="str">
        <f t="shared" si="0"/>
        <v>January</v>
      </c>
      <c r="E30" t="s">
        <v>146</v>
      </c>
      <c r="F30" t="s">
        <v>182</v>
      </c>
      <c r="G30" t="s">
        <v>23</v>
      </c>
      <c r="H30">
        <v>39</v>
      </c>
      <c r="I30" t="s">
        <v>24</v>
      </c>
      <c r="J30" t="s">
        <v>25</v>
      </c>
      <c r="K30" t="s">
        <v>26</v>
      </c>
      <c r="L30" t="s">
        <v>27</v>
      </c>
      <c r="M30" t="s">
        <v>28</v>
      </c>
      <c r="N30" t="s">
        <v>73</v>
      </c>
      <c r="O30">
        <v>3</v>
      </c>
      <c r="P30">
        <v>25000</v>
      </c>
      <c r="Q30">
        <v>5</v>
      </c>
      <c r="R30">
        <v>71250</v>
      </c>
      <c r="S30">
        <v>19201.22</v>
      </c>
      <c r="T30" t="s">
        <v>81</v>
      </c>
      <c r="U30" t="s">
        <v>51</v>
      </c>
      <c r="V30" t="s">
        <v>60</v>
      </c>
    </row>
    <row r="31" spans="1:22" x14ac:dyDescent="0.35">
      <c r="A31" t="s">
        <v>183</v>
      </c>
      <c r="B31" s="5">
        <v>45452</v>
      </c>
      <c r="C31" s="5" t="str">
        <f t="shared" si="1"/>
        <v>2024</v>
      </c>
      <c r="D31" s="5" t="str">
        <f t="shared" si="0"/>
        <v>June</v>
      </c>
      <c r="E31" t="s">
        <v>185</v>
      </c>
      <c r="F31" t="s">
        <v>186</v>
      </c>
      <c r="G31" t="s">
        <v>23</v>
      </c>
      <c r="H31">
        <v>39</v>
      </c>
      <c r="I31" t="s">
        <v>86</v>
      </c>
      <c r="J31" t="s">
        <v>87</v>
      </c>
      <c r="K31" t="s">
        <v>88</v>
      </c>
      <c r="L31" t="s">
        <v>78</v>
      </c>
      <c r="M31" t="s">
        <v>79</v>
      </c>
      <c r="N31" t="s">
        <v>156</v>
      </c>
      <c r="O31">
        <v>4</v>
      </c>
      <c r="P31">
        <v>800</v>
      </c>
      <c r="Q31">
        <v>0</v>
      </c>
      <c r="R31">
        <v>3200</v>
      </c>
      <c r="S31">
        <v>895.45</v>
      </c>
      <c r="T31" t="s">
        <v>59</v>
      </c>
      <c r="U31" t="s">
        <v>92</v>
      </c>
      <c r="V31" t="s">
        <v>52</v>
      </c>
    </row>
    <row r="32" spans="1:22" x14ac:dyDescent="0.35">
      <c r="A32" t="s">
        <v>187</v>
      </c>
      <c r="B32" s="5">
        <v>45749</v>
      </c>
      <c r="C32" s="5" t="str">
        <f t="shared" si="1"/>
        <v>2025</v>
      </c>
      <c r="D32" s="5" t="str">
        <f t="shared" si="0"/>
        <v>April</v>
      </c>
      <c r="E32" t="s">
        <v>189</v>
      </c>
      <c r="F32" t="s">
        <v>190</v>
      </c>
      <c r="G32" t="s">
        <v>23</v>
      </c>
      <c r="H32">
        <v>55</v>
      </c>
      <c r="I32" t="s">
        <v>114</v>
      </c>
      <c r="J32" t="s">
        <v>115</v>
      </c>
      <c r="K32" t="s">
        <v>88</v>
      </c>
      <c r="L32" t="s">
        <v>89</v>
      </c>
      <c r="M32" t="s">
        <v>90</v>
      </c>
      <c r="N32" t="s">
        <v>91</v>
      </c>
      <c r="O32">
        <v>3</v>
      </c>
      <c r="P32">
        <v>9000</v>
      </c>
      <c r="Q32">
        <v>0</v>
      </c>
      <c r="R32">
        <v>27000</v>
      </c>
      <c r="S32">
        <v>4304.26</v>
      </c>
      <c r="T32" t="s">
        <v>81</v>
      </c>
      <c r="U32" t="s">
        <v>51</v>
      </c>
      <c r="V32" t="s">
        <v>93</v>
      </c>
    </row>
    <row r="33" spans="1:22" x14ac:dyDescent="0.35">
      <c r="A33" t="s">
        <v>191</v>
      </c>
      <c r="B33" s="5">
        <v>45733</v>
      </c>
      <c r="C33" s="5" t="str">
        <f t="shared" si="1"/>
        <v>2025</v>
      </c>
      <c r="D33" s="5" t="str">
        <f t="shared" si="0"/>
        <v>March</v>
      </c>
      <c r="E33" t="s">
        <v>55</v>
      </c>
      <c r="F33" t="s">
        <v>193</v>
      </c>
      <c r="G33" t="s">
        <v>37</v>
      </c>
      <c r="H33">
        <v>44</v>
      </c>
      <c r="I33" t="s">
        <v>46</v>
      </c>
      <c r="J33" t="s">
        <v>25</v>
      </c>
      <c r="K33" t="s">
        <v>26</v>
      </c>
      <c r="L33" t="s">
        <v>27</v>
      </c>
      <c r="M33" t="s">
        <v>28</v>
      </c>
      <c r="N33" t="s">
        <v>40</v>
      </c>
      <c r="O33">
        <v>3</v>
      </c>
      <c r="P33">
        <v>2500</v>
      </c>
      <c r="Q33">
        <v>10</v>
      </c>
      <c r="R33">
        <v>6750</v>
      </c>
      <c r="S33">
        <v>1134.1600000000001</v>
      </c>
      <c r="T33" t="s">
        <v>81</v>
      </c>
      <c r="U33" t="s">
        <v>51</v>
      </c>
      <c r="V33" t="s">
        <v>32</v>
      </c>
    </row>
    <row r="34" spans="1:22" x14ac:dyDescent="0.35">
      <c r="A34" t="s">
        <v>194</v>
      </c>
      <c r="B34" s="5">
        <v>45731</v>
      </c>
      <c r="C34" s="5" t="str">
        <f t="shared" si="1"/>
        <v>2025</v>
      </c>
      <c r="D34" s="5" t="str">
        <f t="shared" si="0"/>
        <v>March</v>
      </c>
      <c r="E34" t="s">
        <v>196</v>
      </c>
      <c r="F34" t="s">
        <v>197</v>
      </c>
      <c r="G34" t="s">
        <v>37</v>
      </c>
      <c r="H34">
        <v>26</v>
      </c>
      <c r="I34" t="s">
        <v>114</v>
      </c>
      <c r="J34" t="s">
        <v>115</v>
      </c>
      <c r="K34" t="s">
        <v>88</v>
      </c>
      <c r="L34" t="s">
        <v>27</v>
      </c>
      <c r="M34" t="s">
        <v>28</v>
      </c>
      <c r="N34" t="s">
        <v>40</v>
      </c>
      <c r="O34">
        <v>4</v>
      </c>
      <c r="P34">
        <v>2500</v>
      </c>
      <c r="Q34">
        <v>5</v>
      </c>
      <c r="R34">
        <v>9500</v>
      </c>
      <c r="S34">
        <v>1583.2</v>
      </c>
      <c r="T34" t="s">
        <v>30</v>
      </c>
      <c r="U34" t="s">
        <v>31</v>
      </c>
      <c r="V34" t="s">
        <v>32</v>
      </c>
    </row>
    <row r="35" spans="1:22" x14ac:dyDescent="0.35">
      <c r="A35" t="s">
        <v>198</v>
      </c>
      <c r="B35" s="5">
        <v>45325</v>
      </c>
      <c r="C35" s="5" t="str">
        <f t="shared" si="1"/>
        <v>2024</v>
      </c>
      <c r="D35" s="5" t="str">
        <f t="shared" si="0"/>
        <v>February</v>
      </c>
      <c r="E35" t="s">
        <v>200</v>
      </c>
      <c r="F35" t="s">
        <v>201</v>
      </c>
      <c r="G35" t="s">
        <v>23</v>
      </c>
      <c r="H35">
        <v>50</v>
      </c>
      <c r="I35" t="s">
        <v>57</v>
      </c>
      <c r="J35" t="s">
        <v>57</v>
      </c>
      <c r="K35" t="s">
        <v>58</v>
      </c>
      <c r="L35" t="s">
        <v>27</v>
      </c>
      <c r="M35" t="s">
        <v>28</v>
      </c>
      <c r="N35" t="s">
        <v>140</v>
      </c>
      <c r="O35">
        <v>1</v>
      </c>
      <c r="P35">
        <v>65000</v>
      </c>
      <c r="Q35">
        <v>20</v>
      </c>
      <c r="R35">
        <v>52000</v>
      </c>
      <c r="S35">
        <v>5579.81</v>
      </c>
      <c r="T35" t="s">
        <v>41</v>
      </c>
      <c r="U35" t="s">
        <v>31</v>
      </c>
      <c r="V35" t="s">
        <v>60</v>
      </c>
    </row>
    <row r="36" spans="1:22" x14ac:dyDescent="0.35">
      <c r="A36" t="s">
        <v>202</v>
      </c>
      <c r="B36" s="5">
        <v>45402</v>
      </c>
      <c r="C36" s="5" t="str">
        <f t="shared" si="1"/>
        <v>2024</v>
      </c>
      <c r="D36" s="5" t="str">
        <f t="shared" si="0"/>
        <v>April</v>
      </c>
      <c r="E36" t="s">
        <v>204</v>
      </c>
      <c r="F36" t="s">
        <v>205</v>
      </c>
      <c r="G36" t="s">
        <v>37</v>
      </c>
      <c r="H36">
        <v>39</v>
      </c>
      <c r="I36" t="s">
        <v>46</v>
      </c>
      <c r="J36" t="s">
        <v>25</v>
      </c>
      <c r="K36" t="s">
        <v>26</v>
      </c>
      <c r="L36" t="s">
        <v>78</v>
      </c>
      <c r="M36" t="s">
        <v>79</v>
      </c>
      <c r="N36" t="s">
        <v>156</v>
      </c>
      <c r="O36">
        <v>2</v>
      </c>
      <c r="P36">
        <v>800</v>
      </c>
      <c r="Q36">
        <v>0</v>
      </c>
      <c r="R36">
        <v>1600</v>
      </c>
      <c r="S36">
        <v>445.53</v>
      </c>
      <c r="T36" t="s">
        <v>81</v>
      </c>
      <c r="U36" t="s">
        <v>51</v>
      </c>
      <c r="V36" t="s">
        <v>93</v>
      </c>
    </row>
    <row r="37" spans="1:22" x14ac:dyDescent="0.35">
      <c r="A37" t="s">
        <v>206</v>
      </c>
      <c r="B37" s="5">
        <v>45560</v>
      </c>
      <c r="C37" s="5" t="str">
        <f t="shared" si="1"/>
        <v>2024</v>
      </c>
      <c r="D37" s="5" t="str">
        <f t="shared" si="0"/>
        <v>September</v>
      </c>
      <c r="E37" t="s">
        <v>208</v>
      </c>
      <c r="F37" t="s">
        <v>69</v>
      </c>
      <c r="G37" t="s">
        <v>37</v>
      </c>
      <c r="H37">
        <v>30</v>
      </c>
      <c r="I37" t="s">
        <v>57</v>
      </c>
      <c r="J37" t="s">
        <v>57</v>
      </c>
      <c r="K37" t="s">
        <v>58</v>
      </c>
      <c r="L37" t="s">
        <v>89</v>
      </c>
      <c r="M37" t="s">
        <v>90</v>
      </c>
      <c r="N37" t="s">
        <v>91</v>
      </c>
      <c r="O37">
        <v>5</v>
      </c>
      <c r="P37">
        <v>9000</v>
      </c>
      <c r="Q37">
        <v>15</v>
      </c>
      <c r="R37">
        <v>38250</v>
      </c>
      <c r="S37">
        <v>6693.23</v>
      </c>
      <c r="T37" t="s">
        <v>81</v>
      </c>
      <c r="U37" t="s">
        <v>51</v>
      </c>
      <c r="V37" t="s">
        <v>65</v>
      </c>
    </row>
    <row r="38" spans="1:22" x14ac:dyDescent="0.35">
      <c r="A38" t="s">
        <v>209</v>
      </c>
      <c r="B38" s="5">
        <v>45820</v>
      </c>
      <c r="C38" s="5" t="str">
        <f t="shared" si="1"/>
        <v>2025</v>
      </c>
      <c r="D38" s="5" t="str">
        <f t="shared" si="0"/>
        <v>June</v>
      </c>
      <c r="E38" t="s">
        <v>211</v>
      </c>
      <c r="F38" t="s">
        <v>56</v>
      </c>
      <c r="G38" t="s">
        <v>37</v>
      </c>
      <c r="H38">
        <v>38</v>
      </c>
      <c r="I38" t="s">
        <v>86</v>
      </c>
      <c r="J38" t="s">
        <v>87</v>
      </c>
      <c r="K38" t="s">
        <v>88</v>
      </c>
      <c r="L38" t="s">
        <v>78</v>
      </c>
      <c r="M38" t="s">
        <v>79</v>
      </c>
      <c r="N38" t="s">
        <v>80</v>
      </c>
      <c r="O38">
        <v>1</v>
      </c>
      <c r="P38">
        <v>1800</v>
      </c>
      <c r="Q38">
        <v>20</v>
      </c>
      <c r="R38">
        <v>1440</v>
      </c>
      <c r="S38">
        <v>203.68</v>
      </c>
      <c r="T38" t="s">
        <v>41</v>
      </c>
      <c r="U38" t="s">
        <v>51</v>
      </c>
      <c r="V38" t="s">
        <v>93</v>
      </c>
    </row>
    <row r="39" spans="1:22" x14ac:dyDescent="0.35">
      <c r="A39" t="s">
        <v>212</v>
      </c>
      <c r="B39" s="5">
        <v>45765</v>
      </c>
      <c r="C39" s="5" t="str">
        <f t="shared" si="1"/>
        <v>2025</v>
      </c>
      <c r="D39" s="5" t="str">
        <f t="shared" si="0"/>
        <v>April</v>
      </c>
      <c r="E39" t="s">
        <v>214</v>
      </c>
      <c r="F39" t="s">
        <v>182</v>
      </c>
      <c r="G39" t="s">
        <v>23</v>
      </c>
      <c r="H39">
        <v>35</v>
      </c>
      <c r="I39" t="s">
        <v>57</v>
      </c>
      <c r="J39" t="s">
        <v>57</v>
      </c>
      <c r="K39" t="s">
        <v>58</v>
      </c>
      <c r="L39" t="s">
        <v>47</v>
      </c>
      <c r="M39" t="s">
        <v>48</v>
      </c>
      <c r="N39" t="s">
        <v>215</v>
      </c>
      <c r="O39">
        <v>3</v>
      </c>
      <c r="P39">
        <v>450</v>
      </c>
      <c r="Q39">
        <v>5</v>
      </c>
      <c r="R39">
        <v>1282.5</v>
      </c>
      <c r="S39">
        <v>217.13</v>
      </c>
      <c r="T39" t="s">
        <v>50</v>
      </c>
      <c r="U39" t="s">
        <v>31</v>
      </c>
      <c r="V39" t="s">
        <v>117</v>
      </c>
    </row>
    <row r="40" spans="1:22" x14ac:dyDescent="0.35">
      <c r="A40" t="s">
        <v>216</v>
      </c>
      <c r="B40" s="5">
        <v>45829</v>
      </c>
      <c r="C40" s="5" t="str">
        <f t="shared" si="1"/>
        <v>2025</v>
      </c>
      <c r="D40" s="5" t="str">
        <f t="shared" si="0"/>
        <v>June</v>
      </c>
      <c r="E40" t="s">
        <v>218</v>
      </c>
      <c r="F40" t="s">
        <v>219</v>
      </c>
      <c r="G40" t="s">
        <v>37</v>
      </c>
      <c r="H40">
        <v>54</v>
      </c>
      <c r="I40" t="s">
        <v>46</v>
      </c>
      <c r="J40" t="s">
        <v>25</v>
      </c>
      <c r="K40" t="s">
        <v>26</v>
      </c>
      <c r="L40" t="s">
        <v>89</v>
      </c>
      <c r="M40" t="s">
        <v>90</v>
      </c>
      <c r="N40" t="s">
        <v>91</v>
      </c>
      <c r="O40">
        <v>3</v>
      </c>
      <c r="P40">
        <v>9000</v>
      </c>
      <c r="Q40">
        <v>0</v>
      </c>
      <c r="R40">
        <v>27000</v>
      </c>
      <c r="S40">
        <v>3380.09</v>
      </c>
      <c r="T40" t="s">
        <v>30</v>
      </c>
      <c r="U40" t="s">
        <v>31</v>
      </c>
      <c r="V40" t="s">
        <v>93</v>
      </c>
    </row>
    <row r="41" spans="1:22" x14ac:dyDescent="0.35">
      <c r="A41" t="s">
        <v>220</v>
      </c>
      <c r="B41" s="5">
        <v>45349</v>
      </c>
      <c r="C41" s="5" t="str">
        <f t="shared" si="1"/>
        <v>2024</v>
      </c>
      <c r="D41" s="5" t="str">
        <f t="shared" si="0"/>
        <v>February</v>
      </c>
      <c r="E41" t="s">
        <v>146</v>
      </c>
      <c r="F41" t="s">
        <v>222</v>
      </c>
      <c r="G41" t="s">
        <v>37</v>
      </c>
      <c r="H41">
        <v>37</v>
      </c>
      <c r="I41" t="s">
        <v>98</v>
      </c>
      <c r="J41" t="s">
        <v>99</v>
      </c>
      <c r="K41" t="s">
        <v>100</v>
      </c>
      <c r="L41" t="s">
        <v>47</v>
      </c>
      <c r="M41" t="s">
        <v>48</v>
      </c>
      <c r="N41" t="s">
        <v>49</v>
      </c>
      <c r="O41">
        <v>1</v>
      </c>
      <c r="P41">
        <v>150</v>
      </c>
      <c r="Q41">
        <v>5</v>
      </c>
      <c r="R41">
        <v>142.5</v>
      </c>
      <c r="S41">
        <v>21.4</v>
      </c>
      <c r="T41" t="s">
        <v>59</v>
      </c>
      <c r="U41" t="s">
        <v>51</v>
      </c>
      <c r="V41" t="s">
        <v>52</v>
      </c>
    </row>
    <row r="42" spans="1:22" x14ac:dyDescent="0.35">
      <c r="A42" t="s">
        <v>223</v>
      </c>
      <c r="B42" s="5">
        <v>45448</v>
      </c>
      <c r="C42" s="5" t="str">
        <f t="shared" si="1"/>
        <v>2024</v>
      </c>
      <c r="D42" s="5" t="str">
        <f t="shared" si="0"/>
        <v>June</v>
      </c>
      <c r="E42" t="s">
        <v>225</v>
      </c>
      <c r="F42" t="s">
        <v>226</v>
      </c>
      <c r="G42" t="s">
        <v>37</v>
      </c>
      <c r="H42">
        <v>25</v>
      </c>
      <c r="I42" t="s">
        <v>24</v>
      </c>
      <c r="J42" t="s">
        <v>25</v>
      </c>
      <c r="K42" t="s">
        <v>26</v>
      </c>
      <c r="L42" t="s">
        <v>27</v>
      </c>
      <c r="M42" t="s">
        <v>28</v>
      </c>
      <c r="N42" t="s">
        <v>140</v>
      </c>
      <c r="O42">
        <v>1</v>
      </c>
      <c r="P42">
        <v>65000</v>
      </c>
      <c r="Q42">
        <v>0</v>
      </c>
      <c r="R42">
        <v>65000</v>
      </c>
      <c r="S42">
        <v>16585.150000000001</v>
      </c>
      <c r="T42" t="s">
        <v>41</v>
      </c>
      <c r="U42" t="s">
        <v>51</v>
      </c>
      <c r="V42" t="s">
        <v>93</v>
      </c>
    </row>
    <row r="43" spans="1:22" x14ac:dyDescent="0.35">
      <c r="A43" t="s">
        <v>227</v>
      </c>
      <c r="B43" s="5">
        <v>45565</v>
      </c>
      <c r="C43" s="5" t="str">
        <f t="shared" si="1"/>
        <v>2024</v>
      </c>
      <c r="D43" s="5" t="str">
        <f t="shared" si="0"/>
        <v>September</v>
      </c>
      <c r="E43" t="s">
        <v>229</v>
      </c>
      <c r="F43" t="s">
        <v>230</v>
      </c>
      <c r="G43" t="s">
        <v>37</v>
      </c>
      <c r="H43">
        <v>58</v>
      </c>
      <c r="I43" t="s">
        <v>114</v>
      </c>
      <c r="J43" t="s">
        <v>115</v>
      </c>
      <c r="K43" t="s">
        <v>88</v>
      </c>
      <c r="L43" t="s">
        <v>89</v>
      </c>
      <c r="M43" t="s">
        <v>90</v>
      </c>
      <c r="N43" t="s">
        <v>128</v>
      </c>
      <c r="O43">
        <v>5</v>
      </c>
      <c r="P43">
        <v>7000</v>
      </c>
      <c r="Q43">
        <v>20</v>
      </c>
      <c r="R43">
        <v>28000</v>
      </c>
      <c r="S43">
        <v>6737.12</v>
      </c>
      <c r="T43" t="s">
        <v>30</v>
      </c>
      <c r="U43" t="s">
        <v>92</v>
      </c>
      <c r="V43" t="s">
        <v>60</v>
      </c>
    </row>
    <row r="44" spans="1:22" x14ac:dyDescent="0.35">
      <c r="A44" t="s">
        <v>231</v>
      </c>
      <c r="B44" s="5">
        <v>45557</v>
      </c>
      <c r="C44" s="5" t="str">
        <f t="shared" si="1"/>
        <v>2024</v>
      </c>
      <c r="D44" s="5" t="str">
        <f t="shared" si="0"/>
        <v>September</v>
      </c>
      <c r="E44" t="s">
        <v>233</v>
      </c>
      <c r="F44" t="s">
        <v>234</v>
      </c>
      <c r="G44" t="s">
        <v>23</v>
      </c>
      <c r="H44">
        <v>55</v>
      </c>
      <c r="I44" t="s">
        <v>126</v>
      </c>
      <c r="J44" t="s">
        <v>127</v>
      </c>
      <c r="K44" t="s">
        <v>88</v>
      </c>
      <c r="L44" t="s">
        <v>78</v>
      </c>
      <c r="M44" t="s">
        <v>79</v>
      </c>
      <c r="N44" t="s">
        <v>80</v>
      </c>
      <c r="O44">
        <v>1</v>
      </c>
      <c r="P44">
        <v>1800</v>
      </c>
      <c r="Q44">
        <v>5</v>
      </c>
      <c r="R44">
        <v>1710</v>
      </c>
      <c r="S44">
        <v>232.75</v>
      </c>
      <c r="T44" t="s">
        <v>50</v>
      </c>
      <c r="U44" t="s">
        <v>51</v>
      </c>
      <c r="V44" t="s">
        <v>117</v>
      </c>
    </row>
    <row r="45" spans="1:22" x14ac:dyDescent="0.35">
      <c r="A45" t="s">
        <v>235</v>
      </c>
      <c r="B45" s="5">
        <v>45457</v>
      </c>
      <c r="C45" s="5" t="str">
        <f t="shared" si="1"/>
        <v>2024</v>
      </c>
      <c r="D45" s="5" t="str">
        <f t="shared" si="0"/>
        <v>June</v>
      </c>
      <c r="E45" t="s">
        <v>237</v>
      </c>
      <c r="F45" t="s">
        <v>238</v>
      </c>
      <c r="G45" t="s">
        <v>37</v>
      </c>
      <c r="H45">
        <v>33</v>
      </c>
      <c r="I45" t="s">
        <v>98</v>
      </c>
      <c r="J45" t="s">
        <v>99</v>
      </c>
      <c r="K45" t="s">
        <v>100</v>
      </c>
      <c r="L45" t="s">
        <v>47</v>
      </c>
      <c r="M45" t="s">
        <v>48</v>
      </c>
      <c r="N45" t="s">
        <v>215</v>
      </c>
      <c r="O45">
        <v>1</v>
      </c>
      <c r="P45">
        <v>450</v>
      </c>
      <c r="Q45">
        <v>0</v>
      </c>
      <c r="R45">
        <v>450</v>
      </c>
      <c r="S45">
        <v>98.72</v>
      </c>
      <c r="T45" t="s">
        <v>81</v>
      </c>
      <c r="U45" t="s">
        <v>51</v>
      </c>
      <c r="V45" t="s">
        <v>65</v>
      </c>
    </row>
    <row r="46" spans="1:22" x14ac:dyDescent="0.35">
      <c r="A46" t="s">
        <v>239</v>
      </c>
      <c r="B46" s="5">
        <v>45391</v>
      </c>
      <c r="C46" s="5" t="str">
        <f t="shared" si="1"/>
        <v>2024</v>
      </c>
      <c r="D46" s="5" t="str">
        <f t="shared" si="0"/>
        <v>April</v>
      </c>
      <c r="E46" t="s">
        <v>150</v>
      </c>
      <c r="F46" t="s">
        <v>241</v>
      </c>
      <c r="G46" t="s">
        <v>37</v>
      </c>
      <c r="H46">
        <v>34</v>
      </c>
      <c r="I46" t="s">
        <v>114</v>
      </c>
      <c r="J46" t="s">
        <v>115</v>
      </c>
      <c r="K46" t="s">
        <v>88</v>
      </c>
      <c r="L46" t="s">
        <v>89</v>
      </c>
      <c r="M46" t="s">
        <v>90</v>
      </c>
      <c r="N46" t="s">
        <v>242</v>
      </c>
      <c r="O46">
        <v>1</v>
      </c>
      <c r="P46">
        <v>6000</v>
      </c>
      <c r="Q46">
        <v>20</v>
      </c>
      <c r="R46">
        <v>4800</v>
      </c>
      <c r="S46">
        <v>1037.1400000000001</v>
      </c>
      <c r="T46" t="s">
        <v>50</v>
      </c>
      <c r="U46" t="s">
        <v>51</v>
      </c>
      <c r="V46" t="s">
        <v>60</v>
      </c>
    </row>
    <row r="47" spans="1:22" x14ac:dyDescent="0.35">
      <c r="A47" t="s">
        <v>243</v>
      </c>
      <c r="B47" s="5">
        <v>45780</v>
      </c>
      <c r="C47" s="5" t="str">
        <f t="shared" si="1"/>
        <v>2025</v>
      </c>
      <c r="D47" s="5" t="str">
        <f t="shared" si="0"/>
        <v>May</v>
      </c>
      <c r="E47" t="s">
        <v>245</v>
      </c>
      <c r="F47" t="s">
        <v>246</v>
      </c>
      <c r="G47" t="s">
        <v>37</v>
      </c>
      <c r="H47">
        <v>43</v>
      </c>
      <c r="I47" t="s">
        <v>126</v>
      </c>
      <c r="J47" t="s">
        <v>127</v>
      </c>
      <c r="K47" t="s">
        <v>88</v>
      </c>
      <c r="L47" t="s">
        <v>89</v>
      </c>
      <c r="M47" t="s">
        <v>90</v>
      </c>
      <c r="N47" t="s">
        <v>91</v>
      </c>
      <c r="O47">
        <v>2</v>
      </c>
      <c r="P47">
        <v>9000</v>
      </c>
      <c r="Q47">
        <v>5</v>
      </c>
      <c r="R47">
        <v>17100</v>
      </c>
      <c r="S47">
        <v>1472.07</v>
      </c>
      <c r="T47" t="s">
        <v>59</v>
      </c>
      <c r="U47" t="s">
        <v>51</v>
      </c>
      <c r="V47" t="s">
        <v>60</v>
      </c>
    </row>
    <row r="48" spans="1:22" x14ac:dyDescent="0.35">
      <c r="A48" t="s">
        <v>247</v>
      </c>
      <c r="B48" s="5">
        <v>45298</v>
      </c>
      <c r="C48" s="5" t="str">
        <f t="shared" si="1"/>
        <v>2024</v>
      </c>
      <c r="D48" s="5" t="str">
        <f t="shared" si="0"/>
        <v>January</v>
      </c>
      <c r="E48" t="s">
        <v>44</v>
      </c>
      <c r="F48" t="s">
        <v>249</v>
      </c>
      <c r="G48" t="s">
        <v>37</v>
      </c>
      <c r="H48">
        <v>25</v>
      </c>
      <c r="I48" t="s">
        <v>86</v>
      </c>
      <c r="J48" t="s">
        <v>87</v>
      </c>
      <c r="K48" t="s">
        <v>88</v>
      </c>
      <c r="L48" t="s">
        <v>47</v>
      </c>
      <c r="M48" t="s">
        <v>48</v>
      </c>
      <c r="N48" t="s">
        <v>116</v>
      </c>
      <c r="O48">
        <v>5</v>
      </c>
      <c r="P48">
        <v>120</v>
      </c>
      <c r="Q48">
        <v>15</v>
      </c>
      <c r="R48">
        <v>510</v>
      </c>
      <c r="S48">
        <v>114.99</v>
      </c>
      <c r="T48" t="s">
        <v>41</v>
      </c>
      <c r="U48" t="s">
        <v>51</v>
      </c>
      <c r="V48" t="s">
        <v>60</v>
      </c>
    </row>
    <row r="49" spans="1:22" x14ac:dyDescent="0.35">
      <c r="A49" t="s">
        <v>250</v>
      </c>
      <c r="B49" s="5">
        <v>45648</v>
      </c>
      <c r="C49" s="5" t="str">
        <f t="shared" si="1"/>
        <v>2024</v>
      </c>
      <c r="D49" s="5" t="str">
        <f t="shared" si="0"/>
        <v>December</v>
      </c>
      <c r="E49" t="s">
        <v>252</v>
      </c>
      <c r="F49" t="s">
        <v>253</v>
      </c>
      <c r="G49" t="s">
        <v>23</v>
      </c>
      <c r="H49">
        <v>24</v>
      </c>
      <c r="I49" t="s">
        <v>57</v>
      </c>
      <c r="J49" t="s">
        <v>57</v>
      </c>
      <c r="K49" t="s">
        <v>58</v>
      </c>
      <c r="L49" t="s">
        <v>27</v>
      </c>
      <c r="M49" t="s">
        <v>28</v>
      </c>
      <c r="N49" t="s">
        <v>29</v>
      </c>
      <c r="O49">
        <v>1</v>
      </c>
      <c r="P49">
        <v>12000</v>
      </c>
      <c r="Q49">
        <v>15</v>
      </c>
      <c r="R49">
        <v>10200</v>
      </c>
      <c r="S49">
        <v>1945.54</v>
      </c>
      <c r="T49" t="s">
        <v>41</v>
      </c>
      <c r="U49" t="s">
        <v>51</v>
      </c>
      <c r="V49" t="s">
        <v>52</v>
      </c>
    </row>
    <row r="50" spans="1:22" x14ac:dyDescent="0.35">
      <c r="A50" t="s">
        <v>254</v>
      </c>
      <c r="B50" s="5">
        <v>45514</v>
      </c>
      <c r="C50" s="5" t="str">
        <f t="shared" si="1"/>
        <v>2024</v>
      </c>
      <c r="D50" s="5" t="str">
        <f t="shared" si="0"/>
        <v>August</v>
      </c>
      <c r="E50" t="s">
        <v>256</v>
      </c>
      <c r="F50" t="s">
        <v>257</v>
      </c>
      <c r="G50" t="s">
        <v>23</v>
      </c>
      <c r="H50">
        <v>48</v>
      </c>
      <c r="I50" t="s">
        <v>57</v>
      </c>
      <c r="J50" t="s">
        <v>57</v>
      </c>
      <c r="K50" t="s">
        <v>58</v>
      </c>
      <c r="L50" t="s">
        <v>27</v>
      </c>
      <c r="M50" t="s">
        <v>28</v>
      </c>
      <c r="N50" t="s">
        <v>73</v>
      </c>
      <c r="O50">
        <v>4</v>
      </c>
      <c r="P50">
        <v>25000</v>
      </c>
      <c r="Q50">
        <v>15</v>
      </c>
      <c r="R50">
        <v>85000</v>
      </c>
      <c r="S50">
        <v>7186.68</v>
      </c>
      <c r="T50" t="s">
        <v>30</v>
      </c>
      <c r="U50" t="s">
        <v>31</v>
      </c>
      <c r="V50" t="s">
        <v>117</v>
      </c>
    </row>
    <row r="51" spans="1:22" x14ac:dyDescent="0.35">
      <c r="A51" t="s">
        <v>258</v>
      </c>
      <c r="B51" s="5">
        <v>45665</v>
      </c>
      <c r="C51" s="5" t="str">
        <f t="shared" si="1"/>
        <v>2025</v>
      </c>
      <c r="D51" s="5" t="str">
        <f t="shared" si="0"/>
        <v>January</v>
      </c>
      <c r="E51" t="s">
        <v>260</v>
      </c>
      <c r="F51" t="s">
        <v>230</v>
      </c>
      <c r="G51" t="s">
        <v>37</v>
      </c>
      <c r="H51">
        <v>40</v>
      </c>
      <c r="I51" t="s">
        <v>114</v>
      </c>
      <c r="J51" t="s">
        <v>115</v>
      </c>
      <c r="K51" t="s">
        <v>88</v>
      </c>
      <c r="L51" t="s">
        <v>89</v>
      </c>
      <c r="M51" t="s">
        <v>90</v>
      </c>
      <c r="N51" t="s">
        <v>91</v>
      </c>
      <c r="O51">
        <v>3</v>
      </c>
      <c r="P51">
        <v>9000</v>
      </c>
      <c r="Q51">
        <v>5</v>
      </c>
      <c r="R51">
        <v>25650</v>
      </c>
      <c r="S51">
        <v>2752.66</v>
      </c>
      <c r="T51" t="s">
        <v>59</v>
      </c>
      <c r="U51" t="s">
        <v>51</v>
      </c>
      <c r="V51" t="s">
        <v>93</v>
      </c>
    </row>
    <row r="52" spans="1:22" x14ac:dyDescent="0.35">
      <c r="A52" t="s">
        <v>261</v>
      </c>
      <c r="B52" s="5">
        <v>45337</v>
      </c>
      <c r="C52" s="5" t="str">
        <f t="shared" si="1"/>
        <v>2024</v>
      </c>
      <c r="D52" s="5" t="str">
        <f t="shared" si="0"/>
        <v>February</v>
      </c>
      <c r="E52" t="s">
        <v>200</v>
      </c>
      <c r="F52" t="s">
        <v>253</v>
      </c>
      <c r="G52" t="s">
        <v>37</v>
      </c>
      <c r="H52">
        <v>20</v>
      </c>
      <c r="I52" t="s">
        <v>98</v>
      </c>
      <c r="J52" t="s">
        <v>99</v>
      </c>
      <c r="K52" t="s">
        <v>100</v>
      </c>
      <c r="L52" t="s">
        <v>78</v>
      </c>
      <c r="M52" t="s">
        <v>79</v>
      </c>
      <c r="N52" t="s">
        <v>101</v>
      </c>
      <c r="O52">
        <v>1</v>
      </c>
      <c r="P52">
        <v>3500</v>
      </c>
      <c r="Q52">
        <v>5</v>
      </c>
      <c r="R52">
        <v>3325</v>
      </c>
      <c r="S52">
        <v>603.02</v>
      </c>
      <c r="T52" t="s">
        <v>81</v>
      </c>
      <c r="U52" t="s">
        <v>51</v>
      </c>
      <c r="V52" t="s">
        <v>52</v>
      </c>
    </row>
    <row r="53" spans="1:22" x14ac:dyDescent="0.35">
      <c r="A53" t="s">
        <v>263</v>
      </c>
      <c r="B53" s="5">
        <v>45310</v>
      </c>
      <c r="C53" s="5" t="str">
        <f t="shared" si="1"/>
        <v>2024</v>
      </c>
      <c r="D53" s="5" t="str">
        <f t="shared" si="0"/>
        <v>January</v>
      </c>
      <c r="E53" t="s">
        <v>185</v>
      </c>
      <c r="F53" t="s">
        <v>219</v>
      </c>
      <c r="G53" t="s">
        <v>23</v>
      </c>
      <c r="H53">
        <v>36</v>
      </c>
      <c r="I53" t="s">
        <v>46</v>
      </c>
      <c r="J53" t="s">
        <v>25</v>
      </c>
      <c r="K53" t="s">
        <v>26</v>
      </c>
      <c r="L53" t="s">
        <v>27</v>
      </c>
      <c r="M53" t="s">
        <v>28</v>
      </c>
      <c r="N53" t="s">
        <v>140</v>
      </c>
      <c r="O53">
        <v>4</v>
      </c>
      <c r="P53">
        <v>65000</v>
      </c>
      <c r="Q53">
        <v>5</v>
      </c>
      <c r="R53">
        <v>247000</v>
      </c>
      <c r="S53">
        <v>58288.56</v>
      </c>
      <c r="T53" t="s">
        <v>81</v>
      </c>
      <c r="U53" t="s">
        <v>51</v>
      </c>
      <c r="V53" t="s">
        <v>93</v>
      </c>
    </row>
    <row r="54" spans="1:22" x14ac:dyDescent="0.35">
      <c r="A54" t="s">
        <v>265</v>
      </c>
      <c r="B54" s="5">
        <v>45301</v>
      </c>
      <c r="C54" s="5" t="str">
        <f t="shared" si="1"/>
        <v>2024</v>
      </c>
      <c r="D54" s="5" t="str">
        <f t="shared" si="0"/>
        <v>January</v>
      </c>
      <c r="E54" t="s">
        <v>266</v>
      </c>
      <c r="F54" t="s">
        <v>267</v>
      </c>
      <c r="G54" t="s">
        <v>23</v>
      </c>
      <c r="H54">
        <v>57</v>
      </c>
      <c r="I54" t="s">
        <v>38</v>
      </c>
      <c r="J54" t="s">
        <v>39</v>
      </c>
      <c r="K54" t="s">
        <v>26</v>
      </c>
      <c r="L54" t="s">
        <v>47</v>
      </c>
      <c r="M54" t="s">
        <v>48</v>
      </c>
      <c r="N54" t="s">
        <v>49</v>
      </c>
      <c r="O54">
        <v>3</v>
      </c>
      <c r="P54">
        <v>150</v>
      </c>
      <c r="Q54">
        <v>5</v>
      </c>
      <c r="R54">
        <v>427.5</v>
      </c>
      <c r="S54">
        <v>35.64</v>
      </c>
      <c r="T54" t="s">
        <v>50</v>
      </c>
      <c r="U54" t="s">
        <v>51</v>
      </c>
      <c r="V54" t="s">
        <v>32</v>
      </c>
    </row>
    <row r="55" spans="1:22" x14ac:dyDescent="0.35">
      <c r="A55" t="s">
        <v>268</v>
      </c>
      <c r="B55" s="5">
        <v>45338</v>
      </c>
      <c r="C55" s="5" t="str">
        <f t="shared" si="1"/>
        <v>2024</v>
      </c>
      <c r="D55" s="5" t="str">
        <f t="shared" si="0"/>
        <v>February</v>
      </c>
      <c r="E55" t="s">
        <v>270</v>
      </c>
      <c r="F55" t="s">
        <v>271</v>
      </c>
      <c r="G55" t="s">
        <v>37</v>
      </c>
      <c r="H55">
        <v>33</v>
      </c>
      <c r="I55" t="s">
        <v>86</v>
      </c>
      <c r="J55" t="s">
        <v>87</v>
      </c>
      <c r="K55" t="s">
        <v>88</v>
      </c>
      <c r="L55" t="s">
        <v>78</v>
      </c>
      <c r="M55" t="s">
        <v>79</v>
      </c>
      <c r="N55" t="s">
        <v>156</v>
      </c>
      <c r="O55">
        <v>5</v>
      </c>
      <c r="P55">
        <v>800</v>
      </c>
      <c r="Q55">
        <v>20</v>
      </c>
      <c r="R55">
        <v>3200</v>
      </c>
      <c r="S55">
        <v>583.73</v>
      </c>
      <c r="T55" t="s">
        <v>30</v>
      </c>
      <c r="U55" t="s">
        <v>51</v>
      </c>
      <c r="V55" t="s">
        <v>60</v>
      </c>
    </row>
    <row r="56" spans="1:22" x14ac:dyDescent="0.35">
      <c r="A56" t="s">
        <v>272</v>
      </c>
      <c r="B56" s="5">
        <v>45423</v>
      </c>
      <c r="C56" s="5" t="str">
        <f t="shared" si="1"/>
        <v>2024</v>
      </c>
      <c r="D56" s="5" t="str">
        <f t="shared" si="0"/>
        <v>May</v>
      </c>
      <c r="E56" t="s">
        <v>274</v>
      </c>
      <c r="F56" t="s">
        <v>275</v>
      </c>
      <c r="G56" t="s">
        <v>37</v>
      </c>
      <c r="H56">
        <v>51</v>
      </c>
      <c r="I56" t="s">
        <v>57</v>
      </c>
      <c r="J56" t="s">
        <v>57</v>
      </c>
      <c r="K56" t="s">
        <v>58</v>
      </c>
      <c r="L56" t="s">
        <v>27</v>
      </c>
      <c r="M56" t="s">
        <v>28</v>
      </c>
      <c r="N56" t="s">
        <v>40</v>
      </c>
      <c r="O56">
        <v>2</v>
      </c>
      <c r="P56">
        <v>2500</v>
      </c>
      <c r="Q56">
        <v>5</v>
      </c>
      <c r="R56">
        <v>4750</v>
      </c>
      <c r="S56">
        <v>1055.7</v>
      </c>
      <c r="T56" t="s">
        <v>30</v>
      </c>
      <c r="U56" t="s">
        <v>31</v>
      </c>
      <c r="V56" t="s">
        <v>60</v>
      </c>
    </row>
    <row r="57" spans="1:22" x14ac:dyDescent="0.35">
      <c r="A57" t="s">
        <v>276</v>
      </c>
      <c r="B57" s="5">
        <v>45722</v>
      </c>
      <c r="C57" s="5" t="str">
        <f t="shared" si="1"/>
        <v>2025</v>
      </c>
      <c r="D57" s="5" t="str">
        <f t="shared" si="0"/>
        <v>March</v>
      </c>
      <c r="E57" t="s">
        <v>266</v>
      </c>
      <c r="F57" t="s">
        <v>278</v>
      </c>
      <c r="G57" t="s">
        <v>37</v>
      </c>
      <c r="H57">
        <v>57</v>
      </c>
      <c r="I57" t="s">
        <v>24</v>
      </c>
      <c r="J57" t="s">
        <v>25</v>
      </c>
      <c r="K57" t="s">
        <v>26</v>
      </c>
      <c r="L57" t="s">
        <v>89</v>
      </c>
      <c r="M57" t="s">
        <v>90</v>
      </c>
      <c r="N57" t="s">
        <v>91</v>
      </c>
      <c r="O57">
        <v>1</v>
      </c>
      <c r="P57">
        <v>9000</v>
      </c>
      <c r="Q57">
        <v>20</v>
      </c>
      <c r="R57">
        <v>7200</v>
      </c>
      <c r="S57">
        <v>1827</v>
      </c>
      <c r="T57" t="s">
        <v>59</v>
      </c>
      <c r="U57" t="s">
        <v>92</v>
      </c>
      <c r="V57" t="s">
        <v>60</v>
      </c>
    </row>
    <row r="58" spans="1:22" x14ac:dyDescent="0.35">
      <c r="A58" t="s">
        <v>279</v>
      </c>
      <c r="B58" s="5">
        <v>45698</v>
      </c>
      <c r="C58" s="5" t="str">
        <f t="shared" si="1"/>
        <v>2025</v>
      </c>
      <c r="D58" s="5" t="str">
        <f t="shared" si="0"/>
        <v>February</v>
      </c>
      <c r="E58" t="s">
        <v>281</v>
      </c>
      <c r="F58" t="s">
        <v>45</v>
      </c>
      <c r="G58" t="s">
        <v>23</v>
      </c>
      <c r="H58">
        <v>34</v>
      </c>
      <c r="I58" t="s">
        <v>86</v>
      </c>
      <c r="J58" t="s">
        <v>87</v>
      </c>
      <c r="K58" t="s">
        <v>88</v>
      </c>
      <c r="L58" t="s">
        <v>89</v>
      </c>
      <c r="M58" t="s">
        <v>90</v>
      </c>
      <c r="N58" t="s">
        <v>91</v>
      </c>
      <c r="O58">
        <v>5</v>
      </c>
      <c r="P58">
        <v>9000</v>
      </c>
      <c r="Q58">
        <v>0</v>
      </c>
      <c r="R58">
        <v>45000</v>
      </c>
      <c r="S58">
        <v>6533.89</v>
      </c>
      <c r="T58" t="s">
        <v>30</v>
      </c>
      <c r="U58" t="s">
        <v>51</v>
      </c>
      <c r="V58" t="s">
        <v>65</v>
      </c>
    </row>
    <row r="59" spans="1:22" x14ac:dyDescent="0.35">
      <c r="A59" t="s">
        <v>282</v>
      </c>
      <c r="B59" s="5">
        <v>45742</v>
      </c>
      <c r="C59" s="5" t="str">
        <f t="shared" si="1"/>
        <v>2025</v>
      </c>
      <c r="D59" s="5" t="str">
        <f t="shared" si="0"/>
        <v>March</v>
      </c>
      <c r="E59" t="s">
        <v>284</v>
      </c>
      <c r="F59" t="s">
        <v>285</v>
      </c>
      <c r="G59" t="s">
        <v>23</v>
      </c>
      <c r="H59">
        <v>20</v>
      </c>
      <c r="I59" t="s">
        <v>98</v>
      </c>
      <c r="J59" t="s">
        <v>99</v>
      </c>
      <c r="K59" t="s">
        <v>100</v>
      </c>
      <c r="L59" t="s">
        <v>27</v>
      </c>
      <c r="M59" t="s">
        <v>28</v>
      </c>
      <c r="N59" t="s">
        <v>73</v>
      </c>
      <c r="O59">
        <v>5</v>
      </c>
      <c r="P59">
        <v>25000</v>
      </c>
      <c r="Q59">
        <v>0</v>
      </c>
      <c r="R59">
        <v>125000</v>
      </c>
      <c r="S59">
        <v>12401.1</v>
      </c>
      <c r="T59" t="s">
        <v>30</v>
      </c>
      <c r="U59" t="s">
        <v>51</v>
      </c>
      <c r="V59" t="s">
        <v>32</v>
      </c>
    </row>
    <row r="60" spans="1:22" x14ac:dyDescent="0.35">
      <c r="A60" t="s">
        <v>286</v>
      </c>
      <c r="B60" s="5">
        <v>45753</v>
      </c>
      <c r="C60" s="5" t="str">
        <f t="shared" si="1"/>
        <v>2025</v>
      </c>
      <c r="D60" s="5" t="str">
        <f t="shared" si="0"/>
        <v>April</v>
      </c>
      <c r="E60" t="s">
        <v>120</v>
      </c>
      <c r="F60" t="s">
        <v>288</v>
      </c>
      <c r="G60" t="s">
        <v>23</v>
      </c>
      <c r="H60">
        <v>57</v>
      </c>
      <c r="I60" t="s">
        <v>46</v>
      </c>
      <c r="J60" t="s">
        <v>25</v>
      </c>
      <c r="K60" t="s">
        <v>26</v>
      </c>
      <c r="L60" t="s">
        <v>47</v>
      </c>
      <c r="M60" t="s">
        <v>48</v>
      </c>
      <c r="N60" t="s">
        <v>49</v>
      </c>
      <c r="O60">
        <v>4</v>
      </c>
      <c r="P60">
        <v>150</v>
      </c>
      <c r="Q60">
        <v>10</v>
      </c>
      <c r="R60">
        <v>540</v>
      </c>
      <c r="S60">
        <v>90.97</v>
      </c>
      <c r="T60" t="s">
        <v>59</v>
      </c>
      <c r="U60" t="s">
        <v>92</v>
      </c>
      <c r="V60" t="s">
        <v>60</v>
      </c>
    </row>
    <row r="61" spans="1:22" x14ac:dyDescent="0.35">
      <c r="A61" t="s">
        <v>289</v>
      </c>
      <c r="B61" s="5">
        <v>45750</v>
      </c>
      <c r="C61" s="5" t="str">
        <f t="shared" si="1"/>
        <v>2025</v>
      </c>
      <c r="D61" s="5" t="str">
        <f t="shared" si="0"/>
        <v>April</v>
      </c>
      <c r="E61" t="s">
        <v>291</v>
      </c>
      <c r="F61" t="s">
        <v>292</v>
      </c>
      <c r="G61" t="s">
        <v>23</v>
      </c>
      <c r="H61">
        <v>28</v>
      </c>
      <c r="I61" t="s">
        <v>86</v>
      </c>
      <c r="J61" t="s">
        <v>87</v>
      </c>
      <c r="K61" t="s">
        <v>88</v>
      </c>
      <c r="L61" t="s">
        <v>78</v>
      </c>
      <c r="M61" t="s">
        <v>79</v>
      </c>
      <c r="N61" t="s">
        <v>156</v>
      </c>
      <c r="O61">
        <v>2</v>
      </c>
      <c r="P61">
        <v>800</v>
      </c>
      <c r="Q61">
        <v>20</v>
      </c>
      <c r="R61">
        <v>1280</v>
      </c>
      <c r="S61">
        <v>143.99</v>
      </c>
      <c r="T61" t="s">
        <v>30</v>
      </c>
      <c r="U61" t="s">
        <v>31</v>
      </c>
      <c r="V61" t="s">
        <v>117</v>
      </c>
    </row>
    <row r="62" spans="1:22" x14ac:dyDescent="0.35">
      <c r="A62" t="s">
        <v>293</v>
      </c>
      <c r="B62" s="5">
        <v>45527</v>
      </c>
      <c r="C62" s="5" t="str">
        <f t="shared" si="1"/>
        <v>2024</v>
      </c>
      <c r="D62" s="5" t="str">
        <f t="shared" si="0"/>
        <v>August</v>
      </c>
      <c r="E62" t="s">
        <v>112</v>
      </c>
      <c r="F62" t="s">
        <v>295</v>
      </c>
      <c r="G62" t="s">
        <v>23</v>
      </c>
      <c r="H62">
        <v>33</v>
      </c>
      <c r="I62" t="s">
        <v>46</v>
      </c>
      <c r="J62" t="s">
        <v>25</v>
      </c>
      <c r="K62" t="s">
        <v>26</v>
      </c>
      <c r="L62" t="s">
        <v>47</v>
      </c>
      <c r="M62" t="s">
        <v>48</v>
      </c>
      <c r="N62" t="s">
        <v>49</v>
      </c>
      <c r="O62">
        <v>5</v>
      </c>
      <c r="P62">
        <v>150</v>
      </c>
      <c r="Q62">
        <v>0</v>
      </c>
      <c r="R62">
        <v>750</v>
      </c>
      <c r="S62">
        <v>188.67</v>
      </c>
      <c r="T62" t="s">
        <v>50</v>
      </c>
      <c r="U62" t="s">
        <v>51</v>
      </c>
      <c r="V62" t="s">
        <v>52</v>
      </c>
    </row>
    <row r="63" spans="1:22" x14ac:dyDescent="0.35">
      <c r="A63" t="s">
        <v>296</v>
      </c>
      <c r="B63" s="5">
        <v>45376</v>
      </c>
      <c r="C63" s="5" t="str">
        <f t="shared" si="1"/>
        <v>2024</v>
      </c>
      <c r="D63" s="5" t="str">
        <f t="shared" si="0"/>
        <v>March</v>
      </c>
      <c r="E63" t="s">
        <v>63</v>
      </c>
      <c r="F63" t="s">
        <v>298</v>
      </c>
      <c r="G63" t="s">
        <v>37</v>
      </c>
      <c r="H63">
        <v>49</v>
      </c>
      <c r="I63" t="s">
        <v>114</v>
      </c>
      <c r="J63" t="s">
        <v>115</v>
      </c>
      <c r="K63" t="s">
        <v>88</v>
      </c>
      <c r="L63" t="s">
        <v>89</v>
      </c>
      <c r="M63" t="s">
        <v>90</v>
      </c>
      <c r="N63" t="s">
        <v>128</v>
      </c>
      <c r="O63">
        <v>4</v>
      </c>
      <c r="P63">
        <v>7000</v>
      </c>
      <c r="Q63">
        <v>0</v>
      </c>
      <c r="R63">
        <v>28000</v>
      </c>
      <c r="S63">
        <v>5806.62</v>
      </c>
      <c r="T63" t="s">
        <v>41</v>
      </c>
      <c r="U63" t="s">
        <v>92</v>
      </c>
      <c r="V63" t="s">
        <v>65</v>
      </c>
    </row>
    <row r="64" spans="1:22" x14ac:dyDescent="0.35">
      <c r="A64" t="s">
        <v>299</v>
      </c>
      <c r="B64" s="5">
        <v>45656</v>
      </c>
      <c r="C64" s="5" t="str">
        <f t="shared" si="1"/>
        <v>2024</v>
      </c>
      <c r="D64" s="5" t="str">
        <f t="shared" si="0"/>
        <v>December</v>
      </c>
      <c r="E64" t="s">
        <v>301</v>
      </c>
      <c r="F64" t="s">
        <v>302</v>
      </c>
      <c r="G64" t="s">
        <v>23</v>
      </c>
      <c r="H64">
        <v>37</v>
      </c>
      <c r="I64" t="s">
        <v>38</v>
      </c>
      <c r="J64" t="s">
        <v>39</v>
      </c>
      <c r="K64" t="s">
        <v>26</v>
      </c>
      <c r="L64" t="s">
        <v>27</v>
      </c>
      <c r="M64" t="s">
        <v>28</v>
      </c>
      <c r="N64" t="s">
        <v>40</v>
      </c>
      <c r="O64">
        <v>2</v>
      </c>
      <c r="P64">
        <v>2500</v>
      </c>
      <c r="Q64">
        <v>5</v>
      </c>
      <c r="R64">
        <v>4750</v>
      </c>
      <c r="S64">
        <v>509.75</v>
      </c>
      <c r="T64" t="s">
        <v>30</v>
      </c>
      <c r="U64" t="s">
        <v>92</v>
      </c>
      <c r="V64" t="s">
        <v>93</v>
      </c>
    </row>
    <row r="65" spans="1:22" x14ac:dyDescent="0.35">
      <c r="A65" t="s">
        <v>303</v>
      </c>
      <c r="B65" s="5">
        <v>45482</v>
      </c>
      <c r="C65" s="5" t="str">
        <f t="shared" si="1"/>
        <v>2024</v>
      </c>
      <c r="D65" s="5" t="str">
        <f t="shared" si="0"/>
        <v>July</v>
      </c>
      <c r="E65" t="s">
        <v>104</v>
      </c>
      <c r="F65" t="s">
        <v>305</v>
      </c>
      <c r="G65" t="s">
        <v>23</v>
      </c>
      <c r="H65">
        <v>45</v>
      </c>
      <c r="I65" t="s">
        <v>46</v>
      </c>
      <c r="J65" t="s">
        <v>25</v>
      </c>
      <c r="K65" t="s">
        <v>26</v>
      </c>
      <c r="L65" t="s">
        <v>47</v>
      </c>
      <c r="M65" t="s">
        <v>48</v>
      </c>
      <c r="N65" t="s">
        <v>215</v>
      </c>
      <c r="O65">
        <v>1</v>
      </c>
      <c r="P65">
        <v>450</v>
      </c>
      <c r="Q65">
        <v>0</v>
      </c>
      <c r="R65">
        <v>450</v>
      </c>
      <c r="S65">
        <v>55.45</v>
      </c>
      <c r="T65" t="s">
        <v>81</v>
      </c>
      <c r="U65" t="s">
        <v>92</v>
      </c>
      <c r="V65" t="s">
        <v>52</v>
      </c>
    </row>
    <row r="66" spans="1:22" x14ac:dyDescent="0.35">
      <c r="A66" t="s">
        <v>306</v>
      </c>
      <c r="B66" s="5">
        <v>45558</v>
      </c>
      <c r="C66" s="5" t="str">
        <f t="shared" si="1"/>
        <v>2024</v>
      </c>
      <c r="D66" s="5" t="str">
        <f t="shared" ref="D66:D129" si="2">TEXT(B66,"mmmm")</f>
        <v>September</v>
      </c>
      <c r="E66" t="s">
        <v>308</v>
      </c>
      <c r="F66" t="s">
        <v>309</v>
      </c>
      <c r="G66" t="s">
        <v>37</v>
      </c>
      <c r="H66">
        <v>54</v>
      </c>
      <c r="I66" t="s">
        <v>57</v>
      </c>
      <c r="J66" t="s">
        <v>57</v>
      </c>
      <c r="K66" t="s">
        <v>58</v>
      </c>
      <c r="L66" t="s">
        <v>89</v>
      </c>
      <c r="M66" t="s">
        <v>90</v>
      </c>
      <c r="N66" t="s">
        <v>242</v>
      </c>
      <c r="O66">
        <v>3</v>
      </c>
      <c r="P66">
        <v>6000</v>
      </c>
      <c r="Q66">
        <v>10</v>
      </c>
      <c r="R66">
        <v>16200</v>
      </c>
      <c r="S66">
        <v>2060.06</v>
      </c>
      <c r="T66" t="s">
        <v>50</v>
      </c>
      <c r="U66" t="s">
        <v>31</v>
      </c>
      <c r="V66" t="s">
        <v>60</v>
      </c>
    </row>
    <row r="67" spans="1:22" x14ac:dyDescent="0.35">
      <c r="A67" t="s">
        <v>310</v>
      </c>
      <c r="B67" s="5">
        <v>45458</v>
      </c>
      <c r="C67" s="5" t="str">
        <f t="shared" ref="C67:C130" si="3">TEXT(B67,"YYYY")</f>
        <v>2024</v>
      </c>
      <c r="D67" s="5" t="str">
        <f t="shared" si="2"/>
        <v>June</v>
      </c>
      <c r="E67" t="s">
        <v>312</v>
      </c>
      <c r="F67" t="s">
        <v>313</v>
      </c>
      <c r="G67" t="s">
        <v>37</v>
      </c>
      <c r="H67">
        <v>26</v>
      </c>
      <c r="I67" t="s">
        <v>57</v>
      </c>
      <c r="J67" t="s">
        <v>57</v>
      </c>
      <c r="K67" t="s">
        <v>58</v>
      </c>
      <c r="L67" t="s">
        <v>47</v>
      </c>
      <c r="M67" t="s">
        <v>48</v>
      </c>
      <c r="N67" t="s">
        <v>215</v>
      </c>
      <c r="O67">
        <v>1</v>
      </c>
      <c r="P67">
        <v>450</v>
      </c>
      <c r="Q67">
        <v>5</v>
      </c>
      <c r="R67">
        <v>427.5</v>
      </c>
      <c r="S67">
        <v>66.59</v>
      </c>
      <c r="T67" t="s">
        <v>59</v>
      </c>
      <c r="U67" t="s">
        <v>51</v>
      </c>
      <c r="V67" t="s">
        <v>52</v>
      </c>
    </row>
    <row r="68" spans="1:22" x14ac:dyDescent="0.35">
      <c r="A68" t="s">
        <v>314</v>
      </c>
      <c r="B68" s="5">
        <v>45564</v>
      </c>
      <c r="C68" s="5" t="str">
        <f t="shared" si="3"/>
        <v>2024</v>
      </c>
      <c r="D68" s="5" t="str">
        <f t="shared" si="2"/>
        <v>September</v>
      </c>
      <c r="E68" t="s">
        <v>316</v>
      </c>
      <c r="F68" t="s">
        <v>317</v>
      </c>
      <c r="G68" t="s">
        <v>37</v>
      </c>
      <c r="H68">
        <v>34</v>
      </c>
      <c r="I68" t="s">
        <v>114</v>
      </c>
      <c r="J68" t="s">
        <v>115</v>
      </c>
      <c r="K68" t="s">
        <v>88</v>
      </c>
      <c r="L68" t="s">
        <v>47</v>
      </c>
      <c r="M68" t="s">
        <v>48</v>
      </c>
      <c r="N68" t="s">
        <v>215</v>
      </c>
      <c r="O68">
        <v>2</v>
      </c>
      <c r="P68">
        <v>450</v>
      </c>
      <c r="Q68">
        <v>20</v>
      </c>
      <c r="R68">
        <v>720</v>
      </c>
      <c r="S68">
        <v>75.52</v>
      </c>
      <c r="T68" t="s">
        <v>50</v>
      </c>
      <c r="U68" t="s">
        <v>51</v>
      </c>
      <c r="V68" t="s">
        <v>60</v>
      </c>
    </row>
    <row r="69" spans="1:22" x14ac:dyDescent="0.35">
      <c r="A69" t="s">
        <v>318</v>
      </c>
      <c r="B69" s="5">
        <v>45785</v>
      </c>
      <c r="C69" s="5" t="str">
        <f t="shared" si="3"/>
        <v>2025</v>
      </c>
      <c r="D69" s="5" t="str">
        <f t="shared" si="2"/>
        <v>May</v>
      </c>
      <c r="E69" t="s">
        <v>320</v>
      </c>
      <c r="F69" t="s">
        <v>321</v>
      </c>
      <c r="G69" t="s">
        <v>23</v>
      </c>
      <c r="H69">
        <v>22</v>
      </c>
      <c r="I69" t="s">
        <v>86</v>
      </c>
      <c r="J69" t="s">
        <v>87</v>
      </c>
      <c r="K69" t="s">
        <v>88</v>
      </c>
      <c r="L69" t="s">
        <v>27</v>
      </c>
      <c r="M69" t="s">
        <v>28</v>
      </c>
      <c r="N69" t="s">
        <v>73</v>
      </c>
      <c r="O69">
        <v>2</v>
      </c>
      <c r="P69">
        <v>25000</v>
      </c>
      <c r="Q69">
        <v>5</v>
      </c>
      <c r="R69">
        <v>47500</v>
      </c>
      <c r="S69">
        <v>12712.48</v>
      </c>
      <c r="T69" t="s">
        <v>30</v>
      </c>
      <c r="U69" t="s">
        <v>51</v>
      </c>
      <c r="V69" t="s">
        <v>65</v>
      </c>
    </row>
    <row r="70" spans="1:22" x14ac:dyDescent="0.35">
      <c r="A70" t="s">
        <v>322</v>
      </c>
      <c r="B70" s="5">
        <v>45689</v>
      </c>
      <c r="C70" s="5" t="str">
        <f t="shared" si="3"/>
        <v>2025</v>
      </c>
      <c r="D70" s="5" t="str">
        <f t="shared" si="2"/>
        <v>February</v>
      </c>
      <c r="E70" t="s">
        <v>44</v>
      </c>
      <c r="F70" t="s">
        <v>324</v>
      </c>
      <c r="G70" t="s">
        <v>37</v>
      </c>
      <c r="H70">
        <v>37</v>
      </c>
      <c r="I70" t="s">
        <v>98</v>
      </c>
      <c r="J70" t="s">
        <v>99</v>
      </c>
      <c r="K70" t="s">
        <v>100</v>
      </c>
      <c r="L70" t="s">
        <v>89</v>
      </c>
      <c r="M70" t="s">
        <v>90</v>
      </c>
      <c r="N70" t="s">
        <v>91</v>
      </c>
      <c r="O70">
        <v>5</v>
      </c>
      <c r="P70">
        <v>9000</v>
      </c>
      <c r="Q70">
        <v>0</v>
      </c>
      <c r="R70">
        <v>45000</v>
      </c>
      <c r="S70">
        <v>3982.19</v>
      </c>
      <c r="T70" t="s">
        <v>59</v>
      </c>
      <c r="U70" t="s">
        <v>51</v>
      </c>
      <c r="V70" t="s">
        <v>93</v>
      </c>
    </row>
    <row r="71" spans="1:22" x14ac:dyDescent="0.35">
      <c r="A71" t="s">
        <v>325</v>
      </c>
      <c r="B71" s="5">
        <v>45638</v>
      </c>
      <c r="C71" s="5" t="str">
        <f t="shared" si="3"/>
        <v>2024</v>
      </c>
      <c r="D71" s="5" t="str">
        <f t="shared" si="2"/>
        <v>December</v>
      </c>
      <c r="E71" t="s">
        <v>327</v>
      </c>
      <c r="F71" t="s">
        <v>328</v>
      </c>
      <c r="G71" t="s">
        <v>23</v>
      </c>
      <c r="H71">
        <v>44</v>
      </c>
      <c r="I71" t="s">
        <v>24</v>
      </c>
      <c r="J71" t="s">
        <v>25</v>
      </c>
      <c r="K71" t="s">
        <v>26</v>
      </c>
      <c r="L71" t="s">
        <v>78</v>
      </c>
      <c r="M71" t="s">
        <v>79</v>
      </c>
      <c r="N71" t="s">
        <v>80</v>
      </c>
      <c r="O71">
        <v>3</v>
      </c>
      <c r="P71">
        <v>1800</v>
      </c>
      <c r="Q71">
        <v>15</v>
      </c>
      <c r="R71">
        <v>4590</v>
      </c>
      <c r="S71">
        <v>452.23</v>
      </c>
      <c r="T71" t="s">
        <v>41</v>
      </c>
      <c r="U71" t="s">
        <v>51</v>
      </c>
      <c r="V71" t="s">
        <v>60</v>
      </c>
    </row>
    <row r="72" spans="1:22" x14ac:dyDescent="0.35">
      <c r="A72" t="s">
        <v>329</v>
      </c>
      <c r="B72" s="5">
        <v>45660</v>
      </c>
      <c r="C72" s="5" t="str">
        <f t="shared" si="3"/>
        <v>2025</v>
      </c>
      <c r="D72" s="5" t="str">
        <f t="shared" si="2"/>
        <v>January</v>
      </c>
      <c r="E72" t="s">
        <v>331</v>
      </c>
      <c r="F72" t="s">
        <v>332</v>
      </c>
      <c r="G72" t="s">
        <v>37</v>
      </c>
      <c r="H72">
        <v>48</v>
      </c>
      <c r="I72" t="s">
        <v>46</v>
      </c>
      <c r="J72" t="s">
        <v>25</v>
      </c>
      <c r="K72" t="s">
        <v>26</v>
      </c>
      <c r="L72" t="s">
        <v>27</v>
      </c>
      <c r="M72" t="s">
        <v>28</v>
      </c>
      <c r="N72" t="s">
        <v>40</v>
      </c>
      <c r="O72">
        <v>1</v>
      </c>
      <c r="P72">
        <v>2500</v>
      </c>
      <c r="Q72">
        <v>15</v>
      </c>
      <c r="R72">
        <v>2125</v>
      </c>
      <c r="S72">
        <v>206.48</v>
      </c>
      <c r="T72" t="s">
        <v>30</v>
      </c>
      <c r="U72" t="s">
        <v>51</v>
      </c>
      <c r="V72" t="s">
        <v>93</v>
      </c>
    </row>
    <row r="73" spans="1:22" x14ac:dyDescent="0.35">
      <c r="A73" t="s">
        <v>333</v>
      </c>
      <c r="B73" s="5">
        <v>45432</v>
      </c>
      <c r="C73" s="5" t="str">
        <f t="shared" si="3"/>
        <v>2024</v>
      </c>
      <c r="D73" s="5" t="str">
        <f t="shared" si="2"/>
        <v>May</v>
      </c>
      <c r="E73" t="s">
        <v>291</v>
      </c>
      <c r="F73" t="s">
        <v>321</v>
      </c>
      <c r="G73" t="s">
        <v>23</v>
      </c>
      <c r="H73">
        <v>56</v>
      </c>
      <c r="I73" t="s">
        <v>24</v>
      </c>
      <c r="J73" t="s">
        <v>25</v>
      </c>
      <c r="K73" t="s">
        <v>26</v>
      </c>
      <c r="L73" t="s">
        <v>78</v>
      </c>
      <c r="M73" t="s">
        <v>79</v>
      </c>
      <c r="N73" t="s">
        <v>80</v>
      </c>
      <c r="O73">
        <v>5</v>
      </c>
      <c r="P73">
        <v>1800</v>
      </c>
      <c r="Q73">
        <v>0</v>
      </c>
      <c r="R73">
        <v>9000</v>
      </c>
      <c r="S73">
        <v>1077.83</v>
      </c>
      <c r="T73" t="s">
        <v>30</v>
      </c>
      <c r="U73" t="s">
        <v>51</v>
      </c>
      <c r="V73" t="s">
        <v>52</v>
      </c>
    </row>
    <row r="74" spans="1:22" x14ac:dyDescent="0.35">
      <c r="A74" t="s">
        <v>335</v>
      </c>
      <c r="B74" s="5">
        <v>45601</v>
      </c>
      <c r="C74" s="5" t="str">
        <f t="shared" si="3"/>
        <v>2024</v>
      </c>
      <c r="D74" s="5" t="str">
        <f t="shared" si="2"/>
        <v>November</v>
      </c>
      <c r="E74" t="s">
        <v>337</v>
      </c>
      <c r="F74" t="s">
        <v>338</v>
      </c>
      <c r="G74" t="s">
        <v>23</v>
      </c>
      <c r="H74">
        <v>51</v>
      </c>
      <c r="I74" t="s">
        <v>98</v>
      </c>
      <c r="J74" t="s">
        <v>99</v>
      </c>
      <c r="K74" t="s">
        <v>100</v>
      </c>
      <c r="L74" t="s">
        <v>47</v>
      </c>
      <c r="M74" t="s">
        <v>48</v>
      </c>
      <c r="N74" t="s">
        <v>49</v>
      </c>
      <c r="O74">
        <v>1</v>
      </c>
      <c r="P74">
        <v>150</v>
      </c>
      <c r="Q74">
        <v>15</v>
      </c>
      <c r="R74">
        <v>127.5</v>
      </c>
      <c r="S74">
        <v>31.12</v>
      </c>
      <c r="T74" t="s">
        <v>41</v>
      </c>
      <c r="U74" t="s">
        <v>92</v>
      </c>
      <c r="V74" t="s">
        <v>65</v>
      </c>
    </row>
    <row r="75" spans="1:22" x14ac:dyDescent="0.35">
      <c r="A75" t="s">
        <v>339</v>
      </c>
      <c r="B75" s="5">
        <v>45715</v>
      </c>
      <c r="C75" s="5" t="str">
        <f t="shared" si="3"/>
        <v>2025</v>
      </c>
      <c r="D75" s="5" t="str">
        <f t="shared" si="2"/>
        <v>February</v>
      </c>
      <c r="E75" t="s">
        <v>270</v>
      </c>
      <c r="F75" t="s">
        <v>219</v>
      </c>
      <c r="G75" t="s">
        <v>37</v>
      </c>
      <c r="H75">
        <v>26</v>
      </c>
      <c r="I75" t="s">
        <v>38</v>
      </c>
      <c r="J75" t="s">
        <v>39</v>
      </c>
      <c r="K75" t="s">
        <v>26</v>
      </c>
      <c r="L75" t="s">
        <v>78</v>
      </c>
      <c r="M75" t="s">
        <v>79</v>
      </c>
      <c r="N75" t="s">
        <v>156</v>
      </c>
      <c r="O75">
        <v>2</v>
      </c>
      <c r="P75">
        <v>800</v>
      </c>
      <c r="Q75">
        <v>5</v>
      </c>
      <c r="R75">
        <v>1520</v>
      </c>
      <c r="S75">
        <v>251.82</v>
      </c>
      <c r="T75" t="s">
        <v>59</v>
      </c>
      <c r="U75" t="s">
        <v>51</v>
      </c>
      <c r="V75" t="s">
        <v>117</v>
      </c>
    </row>
    <row r="76" spans="1:22" x14ac:dyDescent="0.35">
      <c r="A76" t="s">
        <v>341</v>
      </c>
      <c r="B76" s="5">
        <v>45403</v>
      </c>
      <c r="C76" s="5" t="str">
        <f t="shared" si="3"/>
        <v>2024</v>
      </c>
      <c r="D76" s="5" t="str">
        <f t="shared" si="2"/>
        <v>April</v>
      </c>
      <c r="E76" t="s">
        <v>343</v>
      </c>
      <c r="F76" t="s">
        <v>344</v>
      </c>
      <c r="G76" t="s">
        <v>37</v>
      </c>
      <c r="H76">
        <v>58</v>
      </c>
      <c r="I76" t="s">
        <v>46</v>
      </c>
      <c r="J76" t="s">
        <v>25</v>
      </c>
      <c r="K76" t="s">
        <v>26</v>
      </c>
      <c r="L76" t="s">
        <v>78</v>
      </c>
      <c r="M76" t="s">
        <v>79</v>
      </c>
      <c r="N76" t="s">
        <v>156</v>
      </c>
      <c r="O76">
        <v>4</v>
      </c>
      <c r="P76">
        <v>800</v>
      </c>
      <c r="Q76">
        <v>20</v>
      </c>
      <c r="R76">
        <v>2560</v>
      </c>
      <c r="S76">
        <v>416.8</v>
      </c>
      <c r="T76" t="s">
        <v>50</v>
      </c>
      <c r="U76" t="s">
        <v>51</v>
      </c>
      <c r="V76" t="s">
        <v>32</v>
      </c>
    </row>
    <row r="77" spans="1:22" x14ac:dyDescent="0.35">
      <c r="A77" t="s">
        <v>345</v>
      </c>
      <c r="B77" s="5">
        <v>45374</v>
      </c>
      <c r="C77" s="5" t="str">
        <f t="shared" si="3"/>
        <v>2024</v>
      </c>
      <c r="D77" s="5" t="str">
        <f t="shared" si="2"/>
        <v>March</v>
      </c>
      <c r="E77" t="s">
        <v>347</v>
      </c>
      <c r="F77" t="s">
        <v>348</v>
      </c>
      <c r="G77" t="s">
        <v>37</v>
      </c>
      <c r="H77">
        <v>50</v>
      </c>
      <c r="I77" t="s">
        <v>86</v>
      </c>
      <c r="J77" t="s">
        <v>87</v>
      </c>
      <c r="K77" t="s">
        <v>88</v>
      </c>
      <c r="L77" t="s">
        <v>78</v>
      </c>
      <c r="M77" t="s">
        <v>79</v>
      </c>
      <c r="N77" t="s">
        <v>80</v>
      </c>
      <c r="O77">
        <v>1</v>
      </c>
      <c r="P77">
        <v>1800</v>
      </c>
      <c r="Q77">
        <v>15</v>
      </c>
      <c r="R77">
        <v>1530</v>
      </c>
      <c r="S77">
        <v>377.71</v>
      </c>
      <c r="T77" t="s">
        <v>50</v>
      </c>
      <c r="U77" t="s">
        <v>51</v>
      </c>
      <c r="V77" t="s">
        <v>52</v>
      </c>
    </row>
    <row r="78" spans="1:22" x14ac:dyDescent="0.35">
      <c r="A78" t="s">
        <v>349</v>
      </c>
      <c r="B78" s="5">
        <v>45758</v>
      </c>
      <c r="C78" s="5" t="str">
        <f t="shared" si="3"/>
        <v>2025</v>
      </c>
      <c r="D78" s="5" t="str">
        <f t="shared" si="2"/>
        <v>April</v>
      </c>
      <c r="E78" t="s">
        <v>351</v>
      </c>
      <c r="F78" t="s">
        <v>352</v>
      </c>
      <c r="G78" t="s">
        <v>37</v>
      </c>
      <c r="H78">
        <v>23</v>
      </c>
      <c r="I78" t="s">
        <v>114</v>
      </c>
      <c r="J78" t="s">
        <v>115</v>
      </c>
      <c r="K78" t="s">
        <v>88</v>
      </c>
      <c r="L78" t="s">
        <v>27</v>
      </c>
      <c r="M78" t="s">
        <v>28</v>
      </c>
      <c r="N78" t="s">
        <v>29</v>
      </c>
      <c r="O78">
        <v>4</v>
      </c>
      <c r="P78">
        <v>12000</v>
      </c>
      <c r="Q78">
        <v>10</v>
      </c>
      <c r="R78">
        <v>43200</v>
      </c>
      <c r="S78">
        <v>6686.34</v>
      </c>
      <c r="T78" t="s">
        <v>30</v>
      </c>
      <c r="U78" t="s">
        <v>51</v>
      </c>
      <c r="V78" t="s">
        <v>93</v>
      </c>
    </row>
    <row r="79" spans="1:22" x14ac:dyDescent="0.35">
      <c r="A79" t="s">
        <v>353</v>
      </c>
      <c r="B79" s="5">
        <v>45422</v>
      </c>
      <c r="C79" s="5" t="str">
        <f t="shared" si="3"/>
        <v>2024</v>
      </c>
      <c r="D79" s="5" t="str">
        <f t="shared" si="2"/>
        <v>May</v>
      </c>
      <c r="E79" t="s">
        <v>327</v>
      </c>
      <c r="F79" t="s">
        <v>354</v>
      </c>
      <c r="G79" t="s">
        <v>23</v>
      </c>
      <c r="H79">
        <v>56</v>
      </c>
      <c r="I79" t="s">
        <v>86</v>
      </c>
      <c r="J79" t="s">
        <v>87</v>
      </c>
      <c r="K79" t="s">
        <v>88</v>
      </c>
      <c r="L79" t="s">
        <v>78</v>
      </c>
      <c r="M79" t="s">
        <v>79</v>
      </c>
      <c r="N79" t="s">
        <v>101</v>
      </c>
      <c r="O79">
        <v>4</v>
      </c>
      <c r="P79">
        <v>3500</v>
      </c>
      <c r="Q79">
        <v>0</v>
      </c>
      <c r="R79">
        <v>14000</v>
      </c>
      <c r="S79">
        <v>3173.02</v>
      </c>
      <c r="T79" t="s">
        <v>30</v>
      </c>
      <c r="U79" t="s">
        <v>51</v>
      </c>
      <c r="V79" t="s">
        <v>32</v>
      </c>
    </row>
    <row r="80" spans="1:22" x14ac:dyDescent="0.35">
      <c r="A80" t="s">
        <v>355</v>
      </c>
      <c r="B80" s="5">
        <v>45296</v>
      </c>
      <c r="C80" s="5" t="str">
        <f t="shared" si="3"/>
        <v>2024</v>
      </c>
      <c r="D80" s="5" t="str">
        <f t="shared" si="2"/>
        <v>January</v>
      </c>
      <c r="E80" t="s">
        <v>357</v>
      </c>
      <c r="F80" t="s">
        <v>358</v>
      </c>
      <c r="G80" t="s">
        <v>23</v>
      </c>
      <c r="H80">
        <v>21</v>
      </c>
      <c r="I80" t="s">
        <v>98</v>
      </c>
      <c r="J80" t="s">
        <v>99</v>
      </c>
      <c r="K80" t="s">
        <v>100</v>
      </c>
      <c r="L80" t="s">
        <v>89</v>
      </c>
      <c r="M80" t="s">
        <v>90</v>
      </c>
      <c r="N80" t="s">
        <v>128</v>
      </c>
      <c r="O80">
        <v>2</v>
      </c>
      <c r="P80">
        <v>7000</v>
      </c>
      <c r="Q80">
        <v>5</v>
      </c>
      <c r="R80">
        <v>13300</v>
      </c>
      <c r="S80">
        <v>2803.5</v>
      </c>
      <c r="T80" t="s">
        <v>81</v>
      </c>
      <c r="U80" t="s">
        <v>51</v>
      </c>
      <c r="V80" t="s">
        <v>93</v>
      </c>
    </row>
    <row r="81" spans="1:22" x14ac:dyDescent="0.35">
      <c r="A81" t="s">
        <v>359</v>
      </c>
      <c r="B81" s="5">
        <v>45539</v>
      </c>
      <c r="C81" s="5" t="str">
        <f t="shared" si="3"/>
        <v>2024</v>
      </c>
      <c r="D81" s="5" t="str">
        <f t="shared" si="2"/>
        <v>September</v>
      </c>
      <c r="E81" t="s">
        <v>361</v>
      </c>
      <c r="F81" t="s">
        <v>362</v>
      </c>
      <c r="G81" t="s">
        <v>37</v>
      </c>
      <c r="H81">
        <v>38</v>
      </c>
      <c r="I81" t="s">
        <v>98</v>
      </c>
      <c r="J81" t="s">
        <v>99</v>
      </c>
      <c r="K81" t="s">
        <v>100</v>
      </c>
      <c r="L81" t="s">
        <v>89</v>
      </c>
      <c r="M81" t="s">
        <v>90</v>
      </c>
      <c r="N81" t="s">
        <v>242</v>
      </c>
      <c r="O81">
        <v>3</v>
      </c>
      <c r="P81">
        <v>6000</v>
      </c>
      <c r="Q81">
        <v>20</v>
      </c>
      <c r="R81">
        <v>14400</v>
      </c>
      <c r="S81">
        <v>3952.89</v>
      </c>
      <c r="T81" t="s">
        <v>81</v>
      </c>
      <c r="U81" t="s">
        <v>51</v>
      </c>
      <c r="V81" t="s">
        <v>117</v>
      </c>
    </row>
    <row r="82" spans="1:22" x14ac:dyDescent="0.35">
      <c r="A82" t="s">
        <v>363</v>
      </c>
      <c r="B82" s="5">
        <v>45762</v>
      </c>
      <c r="C82" s="5" t="str">
        <f t="shared" si="3"/>
        <v>2025</v>
      </c>
      <c r="D82" s="5" t="str">
        <f t="shared" si="2"/>
        <v>April</v>
      </c>
      <c r="E82" t="s">
        <v>347</v>
      </c>
      <c r="F82" t="s">
        <v>365</v>
      </c>
      <c r="G82" t="s">
        <v>37</v>
      </c>
      <c r="H82">
        <v>47</v>
      </c>
      <c r="I82" t="s">
        <v>98</v>
      </c>
      <c r="J82" t="s">
        <v>99</v>
      </c>
      <c r="K82" t="s">
        <v>100</v>
      </c>
      <c r="L82" t="s">
        <v>27</v>
      </c>
      <c r="M82" t="s">
        <v>28</v>
      </c>
      <c r="N82" t="s">
        <v>29</v>
      </c>
      <c r="O82">
        <v>2</v>
      </c>
      <c r="P82">
        <v>12000</v>
      </c>
      <c r="Q82">
        <v>10</v>
      </c>
      <c r="R82">
        <v>21600</v>
      </c>
      <c r="S82">
        <v>5418.62</v>
      </c>
      <c r="T82" t="s">
        <v>30</v>
      </c>
      <c r="U82" t="s">
        <v>51</v>
      </c>
      <c r="V82" t="s">
        <v>65</v>
      </c>
    </row>
    <row r="83" spans="1:22" x14ac:dyDescent="0.35">
      <c r="A83" t="s">
        <v>366</v>
      </c>
      <c r="B83" s="5">
        <v>45684</v>
      </c>
      <c r="C83" s="5" t="str">
        <f t="shared" si="3"/>
        <v>2025</v>
      </c>
      <c r="D83" s="5" t="str">
        <f t="shared" si="2"/>
        <v>January</v>
      </c>
      <c r="E83" t="s">
        <v>368</v>
      </c>
      <c r="F83" t="s">
        <v>288</v>
      </c>
      <c r="G83" t="s">
        <v>37</v>
      </c>
      <c r="H83">
        <v>51</v>
      </c>
      <c r="I83" t="s">
        <v>46</v>
      </c>
      <c r="J83" t="s">
        <v>25</v>
      </c>
      <c r="K83" t="s">
        <v>26</v>
      </c>
      <c r="L83" t="s">
        <v>78</v>
      </c>
      <c r="M83" t="s">
        <v>79</v>
      </c>
      <c r="N83" t="s">
        <v>80</v>
      </c>
      <c r="O83">
        <v>5</v>
      </c>
      <c r="P83">
        <v>1800</v>
      </c>
      <c r="Q83">
        <v>15</v>
      </c>
      <c r="R83">
        <v>7650</v>
      </c>
      <c r="S83">
        <v>2059.8000000000002</v>
      </c>
      <c r="T83" t="s">
        <v>59</v>
      </c>
      <c r="U83" t="s">
        <v>31</v>
      </c>
      <c r="V83" t="s">
        <v>93</v>
      </c>
    </row>
    <row r="84" spans="1:22" x14ac:dyDescent="0.35">
      <c r="A84" t="s">
        <v>369</v>
      </c>
      <c r="B84" s="5">
        <v>45826</v>
      </c>
      <c r="C84" s="5" t="str">
        <f t="shared" si="3"/>
        <v>2025</v>
      </c>
      <c r="D84" s="5" t="str">
        <f t="shared" si="2"/>
        <v>June</v>
      </c>
      <c r="E84" t="s">
        <v>368</v>
      </c>
      <c r="F84" t="s">
        <v>267</v>
      </c>
      <c r="G84" t="s">
        <v>37</v>
      </c>
      <c r="H84">
        <v>48</v>
      </c>
      <c r="I84" t="s">
        <v>86</v>
      </c>
      <c r="J84" t="s">
        <v>87</v>
      </c>
      <c r="K84" t="s">
        <v>88</v>
      </c>
      <c r="L84" t="s">
        <v>27</v>
      </c>
      <c r="M84" t="s">
        <v>28</v>
      </c>
      <c r="N84" t="s">
        <v>73</v>
      </c>
      <c r="O84">
        <v>3</v>
      </c>
      <c r="P84">
        <v>25000</v>
      </c>
      <c r="Q84">
        <v>15</v>
      </c>
      <c r="R84">
        <v>63750</v>
      </c>
      <c r="S84">
        <v>13973.34</v>
      </c>
      <c r="T84" t="s">
        <v>81</v>
      </c>
      <c r="U84" t="s">
        <v>31</v>
      </c>
      <c r="V84" t="s">
        <v>93</v>
      </c>
    </row>
    <row r="85" spans="1:22" x14ac:dyDescent="0.35">
      <c r="A85" t="s">
        <v>371</v>
      </c>
      <c r="B85" s="5">
        <v>45729</v>
      </c>
      <c r="C85" s="5" t="str">
        <f t="shared" si="3"/>
        <v>2025</v>
      </c>
      <c r="D85" s="5" t="str">
        <f t="shared" si="2"/>
        <v>March</v>
      </c>
      <c r="E85" t="s">
        <v>373</v>
      </c>
      <c r="F85" t="s">
        <v>374</v>
      </c>
      <c r="G85" t="s">
        <v>37</v>
      </c>
      <c r="H85">
        <v>54</v>
      </c>
      <c r="I85" t="s">
        <v>86</v>
      </c>
      <c r="J85" t="s">
        <v>87</v>
      </c>
      <c r="K85" t="s">
        <v>88</v>
      </c>
      <c r="L85" t="s">
        <v>89</v>
      </c>
      <c r="M85" t="s">
        <v>90</v>
      </c>
      <c r="N85" t="s">
        <v>242</v>
      </c>
      <c r="O85">
        <v>3</v>
      </c>
      <c r="P85">
        <v>6000</v>
      </c>
      <c r="Q85">
        <v>20</v>
      </c>
      <c r="R85">
        <v>14400</v>
      </c>
      <c r="S85">
        <v>1489.72</v>
      </c>
      <c r="T85" t="s">
        <v>59</v>
      </c>
      <c r="U85" t="s">
        <v>51</v>
      </c>
      <c r="V85" t="s">
        <v>60</v>
      </c>
    </row>
    <row r="86" spans="1:22" x14ac:dyDescent="0.35">
      <c r="A86" t="s">
        <v>375</v>
      </c>
      <c r="B86" s="5">
        <v>45762</v>
      </c>
      <c r="C86" s="5" t="str">
        <f t="shared" si="3"/>
        <v>2025</v>
      </c>
      <c r="D86" s="5" t="str">
        <f t="shared" si="2"/>
        <v>April</v>
      </c>
      <c r="E86" t="s">
        <v>376</v>
      </c>
      <c r="F86" t="s">
        <v>193</v>
      </c>
      <c r="G86" t="s">
        <v>37</v>
      </c>
      <c r="H86">
        <v>42</v>
      </c>
      <c r="I86" t="s">
        <v>126</v>
      </c>
      <c r="J86" t="s">
        <v>127</v>
      </c>
      <c r="K86" t="s">
        <v>88</v>
      </c>
      <c r="L86" t="s">
        <v>78</v>
      </c>
      <c r="M86" t="s">
        <v>79</v>
      </c>
      <c r="N86" t="s">
        <v>156</v>
      </c>
      <c r="O86">
        <v>3</v>
      </c>
      <c r="P86">
        <v>800</v>
      </c>
      <c r="Q86">
        <v>10</v>
      </c>
      <c r="R86">
        <v>2160</v>
      </c>
      <c r="S86">
        <v>250.27</v>
      </c>
      <c r="T86" t="s">
        <v>59</v>
      </c>
      <c r="U86" t="s">
        <v>31</v>
      </c>
      <c r="V86" t="s">
        <v>32</v>
      </c>
    </row>
    <row r="87" spans="1:22" x14ac:dyDescent="0.35">
      <c r="A87" t="s">
        <v>377</v>
      </c>
      <c r="B87" s="5">
        <v>45510</v>
      </c>
      <c r="C87" s="5" t="str">
        <f t="shared" si="3"/>
        <v>2024</v>
      </c>
      <c r="D87" s="5" t="str">
        <f t="shared" si="2"/>
        <v>August</v>
      </c>
      <c r="E87" t="s">
        <v>112</v>
      </c>
      <c r="F87" t="s">
        <v>379</v>
      </c>
      <c r="G87" t="s">
        <v>37</v>
      </c>
      <c r="H87">
        <v>48</v>
      </c>
      <c r="I87" t="s">
        <v>38</v>
      </c>
      <c r="J87" t="s">
        <v>39</v>
      </c>
      <c r="K87" t="s">
        <v>26</v>
      </c>
      <c r="L87" t="s">
        <v>27</v>
      </c>
      <c r="M87" t="s">
        <v>28</v>
      </c>
      <c r="N87" t="s">
        <v>40</v>
      </c>
      <c r="O87">
        <v>1</v>
      </c>
      <c r="P87">
        <v>2500</v>
      </c>
      <c r="Q87">
        <v>10</v>
      </c>
      <c r="R87">
        <v>2250</v>
      </c>
      <c r="S87">
        <v>502.14</v>
      </c>
      <c r="T87" t="s">
        <v>41</v>
      </c>
      <c r="U87" t="s">
        <v>51</v>
      </c>
      <c r="V87" t="s">
        <v>117</v>
      </c>
    </row>
    <row r="88" spans="1:22" x14ac:dyDescent="0.35">
      <c r="A88" t="s">
        <v>380</v>
      </c>
      <c r="B88" s="5">
        <v>45748</v>
      </c>
      <c r="C88" s="5" t="str">
        <f t="shared" si="3"/>
        <v>2025</v>
      </c>
      <c r="D88" s="5" t="str">
        <f t="shared" si="2"/>
        <v>April</v>
      </c>
      <c r="E88" t="s">
        <v>171</v>
      </c>
      <c r="F88" t="s">
        <v>382</v>
      </c>
      <c r="G88" t="s">
        <v>23</v>
      </c>
      <c r="H88">
        <v>36</v>
      </c>
      <c r="I88" t="s">
        <v>57</v>
      </c>
      <c r="J88" t="s">
        <v>57</v>
      </c>
      <c r="K88" t="s">
        <v>58</v>
      </c>
      <c r="L88" t="s">
        <v>89</v>
      </c>
      <c r="M88" t="s">
        <v>90</v>
      </c>
      <c r="N88" t="s">
        <v>242</v>
      </c>
      <c r="O88">
        <v>1</v>
      </c>
      <c r="P88">
        <v>6000</v>
      </c>
      <c r="Q88">
        <v>15</v>
      </c>
      <c r="R88">
        <v>5100</v>
      </c>
      <c r="S88">
        <v>886.34</v>
      </c>
      <c r="T88" t="s">
        <v>41</v>
      </c>
      <c r="U88" t="s">
        <v>31</v>
      </c>
      <c r="V88" t="s">
        <v>117</v>
      </c>
    </row>
    <row r="89" spans="1:22" x14ac:dyDescent="0.35">
      <c r="A89" t="s">
        <v>383</v>
      </c>
      <c r="B89" s="5">
        <v>45589</v>
      </c>
      <c r="C89" s="5" t="str">
        <f t="shared" si="3"/>
        <v>2024</v>
      </c>
      <c r="D89" s="5" t="str">
        <f t="shared" si="2"/>
        <v>October</v>
      </c>
      <c r="E89" t="s">
        <v>385</v>
      </c>
      <c r="F89" t="s">
        <v>302</v>
      </c>
      <c r="G89" t="s">
        <v>23</v>
      </c>
      <c r="H89">
        <v>56</v>
      </c>
      <c r="I89" t="s">
        <v>98</v>
      </c>
      <c r="J89" t="s">
        <v>99</v>
      </c>
      <c r="K89" t="s">
        <v>100</v>
      </c>
      <c r="L89" t="s">
        <v>47</v>
      </c>
      <c r="M89" t="s">
        <v>48</v>
      </c>
      <c r="N89" t="s">
        <v>49</v>
      </c>
      <c r="O89">
        <v>2</v>
      </c>
      <c r="P89">
        <v>150</v>
      </c>
      <c r="Q89">
        <v>0</v>
      </c>
      <c r="R89">
        <v>300</v>
      </c>
      <c r="S89">
        <v>58.71</v>
      </c>
      <c r="T89" t="s">
        <v>50</v>
      </c>
      <c r="U89" t="s">
        <v>92</v>
      </c>
      <c r="V89" t="s">
        <v>65</v>
      </c>
    </row>
    <row r="90" spans="1:22" x14ac:dyDescent="0.35">
      <c r="A90" t="s">
        <v>386</v>
      </c>
      <c r="B90" s="5">
        <v>45477</v>
      </c>
      <c r="C90" s="5" t="str">
        <f t="shared" si="3"/>
        <v>2024</v>
      </c>
      <c r="D90" s="5" t="str">
        <f t="shared" si="2"/>
        <v>July</v>
      </c>
      <c r="E90" t="s">
        <v>388</v>
      </c>
      <c r="F90" t="s">
        <v>389</v>
      </c>
      <c r="G90" t="s">
        <v>37</v>
      </c>
      <c r="H90">
        <v>38</v>
      </c>
      <c r="I90" t="s">
        <v>24</v>
      </c>
      <c r="J90" t="s">
        <v>25</v>
      </c>
      <c r="K90" t="s">
        <v>26</v>
      </c>
      <c r="L90" t="s">
        <v>78</v>
      </c>
      <c r="M90" t="s">
        <v>79</v>
      </c>
      <c r="N90" t="s">
        <v>101</v>
      </c>
      <c r="O90">
        <v>3</v>
      </c>
      <c r="P90">
        <v>3500</v>
      </c>
      <c r="Q90">
        <v>20</v>
      </c>
      <c r="R90">
        <v>8400</v>
      </c>
      <c r="S90">
        <v>1607.44</v>
      </c>
      <c r="T90" t="s">
        <v>30</v>
      </c>
      <c r="U90" t="s">
        <v>51</v>
      </c>
      <c r="V90" t="s">
        <v>32</v>
      </c>
    </row>
    <row r="91" spans="1:22" x14ac:dyDescent="0.35">
      <c r="A91" t="s">
        <v>390</v>
      </c>
      <c r="B91" s="5">
        <v>45654</v>
      </c>
      <c r="C91" s="5" t="str">
        <f t="shared" si="3"/>
        <v>2024</v>
      </c>
      <c r="D91" s="5" t="str">
        <f t="shared" si="2"/>
        <v>December</v>
      </c>
      <c r="E91" t="s">
        <v>392</v>
      </c>
      <c r="F91" t="s">
        <v>393</v>
      </c>
      <c r="G91" t="s">
        <v>23</v>
      </c>
      <c r="H91">
        <v>45</v>
      </c>
      <c r="I91" t="s">
        <v>114</v>
      </c>
      <c r="J91" t="s">
        <v>115</v>
      </c>
      <c r="K91" t="s">
        <v>88</v>
      </c>
      <c r="L91" t="s">
        <v>47</v>
      </c>
      <c r="M91" t="s">
        <v>48</v>
      </c>
      <c r="N91" t="s">
        <v>116</v>
      </c>
      <c r="O91">
        <v>2</v>
      </c>
      <c r="P91">
        <v>120</v>
      </c>
      <c r="Q91">
        <v>15</v>
      </c>
      <c r="R91">
        <v>204</v>
      </c>
      <c r="S91">
        <v>48.25</v>
      </c>
      <c r="T91" t="s">
        <v>30</v>
      </c>
      <c r="U91" t="s">
        <v>51</v>
      </c>
      <c r="V91" t="s">
        <v>52</v>
      </c>
    </row>
    <row r="92" spans="1:22" x14ac:dyDescent="0.35">
      <c r="A92" t="s">
        <v>394</v>
      </c>
      <c r="B92" s="5">
        <v>45495</v>
      </c>
      <c r="C92" s="5" t="str">
        <f t="shared" si="3"/>
        <v>2024</v>
      </c>
      <c r="D92" s="5" t="str">
        <f t="shared" si="2"/>
        <v>July</v>
      </c>
      <c r="E92" t="s">
        <v>368</v>
      </c>
      <c r="F92" t="s">
        <v>234</v>
      </c>
      <c r="G92" t="s">
        <v>23</v>
      </c>
      <c r="H92">
        <v>59</v>
      </c>
      <c r="I92" t="s">
        <v>57</v>
      </c>
      <c r="J92" t="s">
        <v>57</v>
      </c>
      <c r="K92" t="s">
        <v>58</v>
      </c>
      <c r="L92" t="s">
        <v>89</v>
      </c>
      <c r="M92" t="s">
        <v>90</v>
      </c>
      <c r="N92" t="s">
        <v>128</v>
      </c>
      <c r="O92">
        <v>2</v>
      </c>
      <c r="P92">
        <v>7000</v>
      </c>
      <c r="Q92">
        <v>10</v>
      </c>
      <c r="R92">
        <v>12600</v>
      </c>
      <c r="S92">
        <v>3193.47</v>
      </c>
      <c r="T92" t="s">
        <v>41</v>
      </c>
      <c r="U92" t="s">
        <v>51</v>
      </c>
      <c r="V92" t="s">
        <v>117</v>
      </c>
    </row>
    <row r="93" spans="1:22" x14ac:dyDescent="0.35">
      <c r="A93" t="s">
        <v>396</v>
      </c>
      <c r="B93" s="5">
        <v>45804</v>
      </c>
      <c r="C93" s="5" t="str">
        <f t="shared" si="3"/>
        <v>2025</v>
      </c>
      <c r="D93" s="5" t="str">
        <f t="shared" si="2"/>
        <v>May</v>
      </c>
      <c r="E93" t="s">
        <v>270</v>
      </c>
      <c r="F93" t="s">
        <v>302</v>
      </c>
      <c r="G93" t="s">
        <v>23</v>
      </c>
      <c r="H93">
        <v>37</v>
      </c>
      <c r="I93" t="s">
        <v>86</v>
      </c>
      <c r="J93" t="s">
        <v>87</v>
      </c>
      <c r="K93" t="s">
        <v>88</v>
      </c>
      <c r="L93" t="s">
        <v>89</v>
      </c>
      <c r="M93" t="s">
        <v>90</v>
      </c>
      <c r="N93" t="s">
        <v>128</v>
      </c>
      <c r="O93">
        <v>2</v>
      </c>
      <c r="P93">
        <v>7000</v>
      </c>
      <c r="Q93">
        <v>5</v>
      </c>
      <c r="R93">
        <v>13300</v>
      </c>
      <c r="S93">
        <v>2442.11</v>
      </c>
      <c r="T93" t="s">
        <v>30</v>
      </c>
      <c r="U93" t="s">
        <v>51</v>
      </c>
      <c r="V93" t="s">
        <v>65</v>
      </c>
    </row>
    <row r="94" spans="1:22" x14ac:dyDescent="0.35">
      <c r="A94" t="s">
        <v>398</v>
      </c>
      <c r="B94" s="5">
        <v>45752</v>
      </c>
      <c r="C94" s="5" t="str">
        <f t="shared" si="3"/>
        <v>2025</v>
      </c>
      <c r="D94" s="5" t="str">
        <f t="shared" si="2"/>
        <v>April</v>
      </c>
      <c r="E94" t="s">
        <v>400</v>
      </c>
      <c r="F94" t="s">
        <v>362</v>
      </c>
      <c r="G94" t="s">
        <v>23</v>
      </c>
      <c r="H94">
        <v>44</v>
      </c>
      <c r="I94" t="s">
        <v>46</v>
      </c>
      <c r="J94" t="s">
        <v>25</v>
      </c>
      <c r="K94" t="s">
        <v>26</v>
      </c>
      <c r="L94" t="s">
        <v>27</v>
      </c>
      <c r="M94" t="s">
        <v>28</v>
      </c>
      <c r="N94" t="s">
        <v>40</v>
      </c>
      <c r="O94">
        <v>3</v>
      </c>
      <c r="P94">
        <v>2500</v>
      </c>
      <c r="Q94">
        <v>5</v>
      </c>
      <c r="R94">
        <v>7125</v>
      </c>
      <c r="S94">
        <v>690.1</v>
      </c>
      <c r="T94" t="s">
        <v>81</v>
      </c>
      <c r="U94" t="s">
        <v>31</v>
      </c>
      <c r="V94" t="s">
        <v>65</v>
      </c>
    </row>
    <row r="95" spans="1:22" x14ac:dyDescent="0.35">
      <c r="A95" t="s">
        <v>401</v>
      </c>
      <c r="B95" s="5">
        <v>45303</v>
      </c>
      <c r="C95" s="5" t="str">
        <f t="shared" si="3"/>
        <v>2024</v>
      </c>
      <c r="D95" s="5" t="str">
        <f t="shared" si="2"/>
        <v>January</v>
      </c>
      <c r="E95" t="s">
        <v>237</v>
      </c>
      <c r="F95" t="s">
        <v>403</v>
      </c>
      <c r="G95" t="s">
        <v>23</v>
      </c>
      <c r="H95">
        <v>45</v>
      </c>
      <c r="I95" t="s">
        <v>86</v>
      </c>
      <c r="J95" t="s">
        <v>87</v>
      </c>
      <c r="K95" t="s">
        <v>88</v>
      </c>
      <c r="L95" t="s">
        <v>89</v>
      </c>
      <c r="M95" t="s">
        <v>90</v>
      </c>
      <c r="N95" t="s">
        <v>242</v>
      </c>
      <c r="O95">
        <v>2</v>
      </c>
      <c r="P95">
        <v>6000</v>
      </c>
      <c r="Q95">
        <v>5</v>
      </c>
      <c r="R95">
        <v>11400</v>
      </c>
      <c r="S95">
        <v>1438.77</v>
      </c>
      <c r="T95" t="s">
        <v>50</v>
      </c>
      <c r="U95" t="s">
        <v>51</v>
      </c>
      <c r="V95" t="s">
        <v>65</v>
      </c>
    </row>
    <row r="96" spans="1:22" x14ac:dyDescent="0.35">
      <c r="A96" t="s">
        <v>404</v>
      </c>
      <c r="B96" s="5">
        <v>45325</v>
      </c>
      <c r="C96" s="5" t="str">
        <f t="shared" si="3"/>
        <v>2024</v>
      </c>
      <c r="D96" s="5" t="str">
        <f t="shared" si="2"/>
        <v>February</v>
      </c>
      <c r="E96" t="s">
        <v>405</v>
      </c>
      <c r="F96" t="s">
        <v>164</v>
      </c>
      <c r="G96" t="s">
        <v>23</v>
      </c>
      <c r="H96">
        <v>50</v>
      </c>
      <c r="I96" t="s">
        <v>46</v>
      </c>
      <c r="J96" t="s">
        <v>25</v>
      </c>
      <c r="K96" t="s">
        <v>26</v>
      </c>
      <c r="L96" t="s">
        <v>27</v>
      </c>
      <c r="M96" t="s">
        <v>28</v>
      </c>
      <c r="N96" t="s">
        <v>29</v>
      </c>
      <c r="O96">
        <v>5</v>
      </c>
      <c r="P96">
        <v>12000</v>
      </c>
      <c r="Q96">
        <v>10</v>
      </c>
      <c r="R96">
        <v>54000</v>
      </c>
      <c r="S96">
        <v>9077.11</v>
      </c>
      <c r="T96" t="s">
        <v>30</v>
      </c>
      <c r="U96" t="s">
        <v>31</v>
      </c>
      <c r="V96" t="s">
        <v>52</v>
      </c>
    </row>
    <row r="97" spans="1:22" x14ac:dyDescent="0.35">
      <c r="A97" t="s">
        <v>406</v>
      </c>
      <c r="B97" s="5">
        <v>45480</v>
      </c>
      <c r="C97" s="5" t="str">
        <f t="shared" si="3"/>
        <v>2024</v>
      </c>
      <c r="D97" s="5" t="str">
        <f t="shared" si="2"/>
        <v>July</v>
      </c>
      <c r="E97" t="s">
        <v>408</v>
      </c>
      <c r="F97" t="s">
        <v>45</v>
      </c>
      <c r="G97" t="s">
        <v>23</v>
      </c>
      <c r="H97">
        <v>49</v>
      </c>
      <c r="I97" t="s">
        <v>126</v>
      </c>
      <c r="J97" t="s">
        <v>127</v>
      </c>
      <c r="K97" t="s">
        <v>88</v>
      </c>
      <c r="L97" t="s">
        <v>78</v>
      </c>
      <c r="M97" t="s">
        <v>79</v>
      </c>
      <c r="N97" t="s">
        <v>156</v>
      </c>
      <c r="O97">
        <v>5</v>
      </c>
      <c r="P97">
        <v>800</v>
      </c>
      <c r="Q97">
        <v>10</v>
      </c>
      <c r="R97">
        <v>3600</v>
      </c>
      <c r="S97">
        <v>677.52</v>
      </c>
      <c r="T97" t="s">
        <v>41</v>
      </c>
      <c r="U97" t="s">
        <v>51</v>
      </c>
      <c r="V97" t="s">
        <v>65</v>
      </c>
    </row>
    <row r="98" spans="1:22" x14ac:dyDescent="0.35">
      <c r="A98" t="s">
        <v>409</v>
      </c>
      <c r="B98" s="5">
        <v>45468</v>
      </c>
      <c r="C98" s="5" t="str">
        <f t="shared" si="3"/>
        <v>2024</v>
      </c>
      <c r="D98" s="5" t="str">
        <f t="shared" si="2"/>
        <v>June</v>
      </c>
      <c r="E98" t="s">
        <v>150</v>
      </c>
      <c r="F98" t="s">
        <v>410</v>
      </c>
      <c r="G98" t="s">
        <v>37</v>
      </c>
      <c r="H98">
        <v>43</v>
      </c>
      <c r="I98" t="s">
        <v>98</v>
      </c>
      <c r="J98" t="s">
        <v>99</v>
      </c>
      <c r="K98" t="s">
        <v>100</v>
      </c>
      <c r="L98" t="s">
        <v>47</v>
      </c>
      <c r="M98" t="s">
        <v>48</v>
      </c>
      <c r="N98" t="s">
        <v>116</v>
      </c>
      <c r="O98">
        <v>2</v>
      </c>
      <c r="P98">
        <v>120</v>
      </c>
      <c r="Q98">
        <v>5</v>
      </c>
      <c r="R98">
        <v>228</v>
      </c>
      <c r="S98">
        <v>21.88</v>
      </c>
      <c r="T98" t="s">
        <v>41</v>
      </c>
      <c r="U98" t="s">
        <v>51</v>
      </c>
      <c r="V98" t="s">
        <v>32</v>
      </c>
    </row>
    <row r="99" spans="1:22" x14ac:dyDescent="0.35">
      <c r="A99" t="s">
        <v>411</v>
      </c>
      <c r="B99" s="5">
        <v>45663</v>
      </c>
      <c r="C99" s="5" t="str">
        <f t="shared" si="3"/>
        <v>2025</v>
      </c>
      <c r="D99" s="5" t="str">
        <f t="shared" si="2"/>
        <v>January</v>
      </c>
      <c r="E99" t="s">
        <v>131</v>
      </c>
      <c r="F99" t="s">
        <v>413</v>
      </c>
      <c r="G99" t="s">
        <v>23</v>
      </c>
      <c r="H99">
        <v>21</v>
      </c>
      <c r="I99" t="s">
        <v>46</v>
      </c>
      <c r="J99" t="s">
        <v>25</v>
      </c>
      <c r="K99" t="s">
        <v>26</v>
      </c>
      <c r="L99" t="s">
        <v>89</v>
      </c>
      <c r="M99" t="s">
        <v>90</v>
      </c>
      <c r="N99" t="s">
        <v>91</v>
      </c>
      <c r="O99">
        <v>4</v>
      </c>
      <c r="P99">
        <v>9000</v>
      </c>
      <c r="Q99">
        <v>20</v>
      </c>
      <c r="R99">
        <v>28800</v>
      </c>
      <c r="S99">
        <v>6077.43</v>
      </c>
      <c r="T99" t="s">
        <v>41</v>
      </c>
      <c r="U99" t="s">
        <v>51</v>
      </c>
      <c r="V99" t="s">
        <v>117</v>
      </c>
    </row>
    <row r="100" spans="1:22" x14ac:dyDescent="0.35">
      <c r="A100" t="s">
        <v>414</v>
      </c>
      <c r="B100" s="5">
        <v>45706</v>
      </c>
      <c r="C100" s="5" t="str">
        <f t="shared" si="3"/>
        <v>2025</v>
      </c>
      <c r="D100" s="5" t="str">
        <f t="shared" si="2"/>
        <v>February</v>
      </c>
      <c r="E100" t="s">
        <v>214</v>
      </c>
      <c r="F100" t="s">
        <v>132</v>
      </c>
      <c r="G100" t="s">
        <v>23</v>
      </c>
      <c r="H100">
        <v>43</v>
      </c>
      <c r="I100" t="s">
        <v>86</v>
      </c>
      <c r="J100" t="s">
        <v>87</v>
      </c>
      <c r="K100" t="s">
        <v>88</v>
      </c>
      <c r="L100" t="s">
        <v>89</v>
      </c>
      <c r="M100" t="s">
        <v>90</v>
      </c>
      <c r="N100" t="s">
        <v>242</v>
      </c>
      <c r="O100">
        <v>1</v>
      </c>
      <c r="P100">
        <v>6000</v>
      </c>
      <c r="Q100">
        <v>20</v>
      </c>
      <c r="R100">
        <v>4800</v>
      </c>
      <c r="S100">
        <v>1127.51</v>
      </c>
      <c r="T100" t="s">
        <v>30</v>
      </c>
      <c r="U100" t="s">
        <v>51</v>
      </c>
      <c r="V100" t="s">
        <v>117</v>
      </c>
    </row>
    <row r="101" spans="1:22" x14ac:dyDescent="0.35">
      <c r="A101" t="s">
        <v>416</v>
      </c>
      <c r="B101" s="5">
        <v>45463</v>
      </c>
      <c r="C101" s="5" t="str">
        <f t="shared" si="3"/>
        <v>2024</v>
      </c>
      <c r="D101" s="5" t="str">
        <f t="shared" si="2"/>
        <v>June</v>
      </c>
      <c r="E101" t="s">
        <v>189</v>
      </c>
      <c r="F101" t="s">
        <v>418</v>
      </c>
      <c r="G101" t="s">
        <v>23</v>
      </c>
      <c r="H101">
        <v>27</v>
      </c>
      <c r="I101" t="s">
        <v>126</v>
      </c>
      <c r="J101" t="s">
        <v>127</v>
      </c>
      <c r="K101" t="s">
        <v>88</v>
      </c>
      <c r="L101" t="s">
        <v>27</v>
      </c>
      <c r="M101" t="s">
        <v>28</v>
      </c>
      <c r="N101" t="s">
        <v>73</v>
      </c>
      <c r="O101">
        <v>5</v>
      </c>
      <c r="P101">
        <v>25000</v>
      </c>
      <c r="Q101">
        <v>20</v>
      </c>
      <c r="R101">
        <v>100000</v>
      </c>
      <c r="S101">
        <v>19010.3</v>
      </c>
      <c r="T101" t="s">
        <v>41</v>
      </c>
      <c r="U101" t="s">
        <v>51</v>
      </c>
      <c r="V101" t="s">
        <v>32</v>
      </c>
    </row>
    <row r="102" spans="1:22" x14ac:dyDescent="0.35">
      <c r="A102" t="s">
        <v>419</v>
      </c>
      <c r="B102" s="5">
        <v>45478</v>
      </c>
      <c r="C102" s="5" t="str">
        <f t="shared" si="3"/>
        <v>2024</v>
      </c>
      <c r="D102" s="5" t="str">
        <f t="shared" si="2"/>
        <v>July</v>
      </c>
      <c r="E102" t="s">
        <v>108</v>
      </c>
      <c r="F102" t="s">
        <v>421</v>
      </c>
      <c r="G102" t="s">
        <v>37</v>
      </c>
      <c r="H102">
        <v>33</v>
      </c>
      <c r="I102" t="s">
        <v>98</v>
      </c>
      <c r="J102" t="s">
        <v>99</v>
      </c>
      <c r="K102" t="s">
        <v>100</v>
      </c>
      <c r="L102" t="s">
        <v>78</v>
      </c>
      <c r="M102" t="s">
        <v>79</v>
      </c>
      <c r="N102" t="s">
        <v>101</v>
      </c>
      <c r="O102">
        <v>3</v>
      </c>
      <c r="P102">
        <v>3500</v>
      </c>
      <c r="Q102">
        <v>10</v>
      </c>
      <c r="R102">
        <v>9450</v>
      </c>
      <c r="S102">
        <v>2004.27</v>
      </c>
      <c r="T102" t="s">
        <v>41</v>
      </c>
      <c r="U102" t="s">
        <v>51</v>
      </c>
      <c r="V102" t="s">
        <v>32</v>
      </c>
    </row>
    <row r="103" spans="1:22" x14ac:dyDescent="0.35">
      <c r="A103" t="s">
        <v>422</v>
      </c>
      <c r="B103" s="5">
        <v>45813</v>
      </c>
      <c r="C103" s="5" t="str">
        <f t="shared" si="3"/>
        <v>2025</v>
      </c>
      <c r="D103" s="5" t="str">
        <f t="shared" si="2"/>
        <v>June</v>
      </c>
      <c r="E103" t="s">
        <v>189</v>
      </c>
      <c r="F103" t="s">
        <v>424</v>
      </c>
      <c r="G103" t="s">
        <v>37</v>
      </c>
      <c r="H103">
        <v>20</v>
      </c>
      <c r="I103" t="s">
        <v>98</v>
      </c>
      <c r="J103" t="s">
        <v>99</v>
      </c>
      <c r="K103" t="s">
        <v>100</v>
      </c>
      <c r="L103" t="s">
        <v>47</v>
      </c>
      <c r="M103" t="s">
        <v>48</v>
      </c>
      <c r="N103" t="s">
        <v>116</v>
      </c>
      <c r="O103">
        <v>2</v>
      </c>
      <c r="P103">
        <v>120</v>
      </c>
      <c r="Q103">
        <v>15</v>
      </c>
      <c r="R103">
        <v>204</v>
      </c>
      <c r="S103">
        <v>16.690000000000001</v>
      </c>
      <c r="T103" t="s">
        <v>81</v>
      </c>
      <c r="U103" t="s">
        <v>51</v>
      </c>
      <c r="V103" t="s">
        <v>117</v>
      </c>
    </row>
    <row r="104" spans="1:22" x14ac:dyDescent="0.35">
      <c r="A104" t="s">
        <v>425</v>
      </c>
      <c r="B104" s="5">
        <v>45316</v>
      </c>
      <c r="C104" s="5" t="str">
        <f t="shared" si="3"/>
        <v>2024</v>
      </c>
      <c r="D104" s="5" t="str">
        <f t="shared" si="2"/>
        <v>January</v>
      </c>
      <c r="E104" t="s">
        <v>229</v>
      </c>
      <c r="F104" t="s">
        <v>365</v>
      </c>
      <c r="G104" t="s">
        <v>37</v>
      </c>
      <c r="H104">
        <v>57</v>
      </c>
      <c r="I104" t="s">
        <v>98</v>
      </c>
      <c r="J104" t="s">
        <v>99</v>
      </c>
      <c r="K104" t="s">
        <v>100</v>
      </c>
      <c r="L104" t="s">
        <v>27</v>
      </c>
      <c r="M104" t="s">
        <v>28</v>
      </c>
      <c r="N104" t="s">
        <v>29</v>
      </c>
      <c r="O104">
        <v>3</v>
      </c>
      <c r="P104">
        <v>12000</v>
      </c>
      <c r="Q104">
        <v>15</v>
      </c>
      <c r="R104">
        <v>30600</v>
      </c>
      <c r="S104">
        <v>6611.79</v>
      </c>
      <c r="T104" t="s">
        <v>41</v>
      </c>
      <c r="U104" t="s">
        <v>31</v>
      </c>
      <c r="V104" t="s">
        <v>65</v>
      </c>
    </row>
    <row r="105" spans="1:22" x14ac:dyDescent="0.35">
      <c r="A105" t="s">
        <v>427</v>
      </c>
      <c r="B105" s="5">
        <v>45454</v>
      </c>
      <c r="C105" s="5" t="str">
        <f t="shared" si="3"/>
        <v>2024</v>
      </c>
      <c r="D105" s="5" t="str">
        <f t="shared" si="2"/>
        <v>June</v>
      </c>
      <c r="E105" t="s">
        <v>429</v>
      </c>
      <c r="F105" t="s">
        <v>430</v>
      </c>
      <c r="G105" t="s">
        <v>23</v>
      </c>
      <c r="H105">
        <v>54</v>
      </c>
      <c r="I105" t="s">
        <v>24</v>
      </c>
      <c r="J105" t="s">
        <v>25</v>
      </c>
      <c r="K105" t="s">
        <v>26</v>
      </c>
      <c r="L105" t="s">
        <v>47</v>
      </c>
      <c r="M105" t="s">
        <v>48</v>
      </c>
      <c r="N105" t="s">
        <v>116</v>
      </c>
      <c r="O105">
        <v>1</v>
      </c>
      <c r="P105">
        <v>120</v>
      </c>
      <c r="Q105">
        <v>5</v>
      </c>
      <c r="R105">
        <v>114</v>
      </c>
      <c r="S105">
        <v>19.62</v>
      </c>
      <c r="T105" t="s">
        <v>30</v>
      </c>
      <c r="U105" t="s">
        <v>51</v>
      </c>
      <c r="V105" t="s">
        <v>52</v>
      </c>
    </row>
    <row r="106" spans="1:22" x14ac:dyDescent="0.35">
      <c r="A106" t="s">
        <v>431</v>
      </c>
      <c r="B106" s="5">
        <v>45366</v>
      </c>
      <c r="C106" s="5" t="str">
        <f t="shared" si="3"/>
        <v>2024</v>
      </c>
      <c r="D106" s="5" t="str">
        <f t="shared" si="2"/>
        <v>March</v>
      </c>
      <c r="E106" t="s">
        <v>385</v>
      </c>
      <c r="F106" t="s">
        <v>433</v>
      </c>
      <c r="G106" t="s">
        <v>23</v>
      </c>
      <c r="H106">
        <v>22</v>
      </c>
      <c r="I106" t="s">
        <v>46</v>
      </c>
      <c r="J106" t="s">
        <v>25</v>
      </c>
      <c r="K106" t="s">
        <v>26</v>
      </c>
      <c r="L106" t="s">
        <v>27</v>
      </c>
      <c r="M106" t="s">
        <v>28</v>
      </c>
      <c r="N106" t="s">
        <v>29</v>
      </c>
      <c r="O106">
        <v>3</v>
      </c>
      <c r="P106">
        <v>12000</v>
      </c>
      <c r="Q106">
        <v>15</v>
      </c>
      <c r="R106">
        <v>30600</v>
      </c>
      <c r="S106">
        <v>5651.37</v>
      </c>
      <c r="T106" t="s">
        <v>81</v>
      </c>
      <c r="U106" t="s">
        <v>51</v>
      </c>
      <c r="V106" t="s">
        <v>52</v>
      </c>
    </row>
    <row r="107" spans="1:22" x14ac:dyDescent="0.35">
      <c r="A107" t="s">
        <v>434</v>
      </c>
      <c r="B107" s="5">
        <v>45416</v>
      </c>
      <c r="C107" s="5" t="str">
        <f t="shared" si="3"/>
        <v>2024</v>
      </c>
      <c r="D107" s="5" t="str">
        <f t="shared" si="2"/>
        <v>May</v>
      </c>
      <c r="E107" t="s">
        <v>436</v>
      </c>
      <c r="F107" t="s">
        <v>437</v>
      </c>
      <c r="G107" t="s">
        <v>23</v>
      </c>
      <c r="H107">
        <v>60</v>
      </c>
      <c r="I107" t="s">
        <v>38</v>
      </c>
      <c r="J107" t="s">
        <v>39</v>
      </c>
      <c r="K107" t="s">
        <v>26</v>
      </c>
      <c r="L107" t="s">
        <v>47</v>
      </c>
      <c r="M107" t="s">
        <v>48</v>
      </c>
      <c r="N107" t="s">
        <v>49</v>
      </c>
      <c r="O107">
        <v>1</v>
      </c>
      <c r="P107">
        <v>150</v>
      </c>
      <c r="Q107">
        <v>20</v>
      </c>
      <c r="R107">
        <v>120</v>
      </c>
      <c r="S107">
        <v>13.51</v>
      </c>
      <c r="T107" t="s">
        <v>50</v>
      </c>
      <c r="U107" t="s">
        <v>51</v>
      </c>
      <c r="V107" t="s">
        <v>117</v>
      </c>
    </row>
    <row r="108" spans="1:22" x14ac:dyDescent="0.35">
      <c r="A108" t="s">
        <v>438</v>
      </c>
      <c r="B108" s="5">
        <v>45647</v>
      </c>
      <c r="C108" s="5" t="str">
        <f t="shared" si="3"/>
        <v>2024</v>
      </c>
      <c r="D108" s="5" t="str">
        <f t="shared" si="2"/>
        <v>December</v>
      </c>
      <c r="E108" t="s">
        <v>440</v>
      </c>
      <c r="F108" t="s">
        <v>441</v>
      </c>
      <c r="G108" t="s">
        <v>23</v>
      </c>
      <c r="H108">
        <v>57</v>
      </c>
      <c r="I108" t="s">
        <v>114</v>
      </c>
      <c r="J108" t="s">
        <v>115</v>
      </c>
      <c r="K108" t="s">
        <v>88</v>
      </c>
      <c r="L108" t="s">
        <v>78</v>
      </c>
      <c r="M108" t="s">
        <v>79</v>
      </c>
      <c r="N108" t="s">
        <v>156</v>
      </c>
      <c r="O108">
        <v>2</v>
      </c>
      <c r="P108">
        <v>800</v>
      </c>
      <c r="Q108">
        <v>0</v>
      </c>
      <c r="R108">
        <v>1600</v>
      </c>
      <c r="S108">
        <v>186.05</v>
      </c>
      <c r="T108" t="s">
        <v>59</v>
      </c>
      <c r="U108" t="s">
        <v>51</v>
      </c>
      <c r="V108" t="s">
        <v>32</v>
      </c>
    </row>
    <row r="109" spans="1:22" x14ac:dyDescent="0.35">
      <c r="A109" t="s">
        <v>442</v>
      </c>
      <c r="B109" s="5">
        <v>45617</v>
      </c>
      <c r="C109" s="5" t="str">
        <f t="shared" si="3"/>
        <v>2024</v>
      </c>
      <c r="D109" s="5" t="str">
        <f t="shared" si="2"/>
        <v>November</v>
      </c>
      <c r="E109" t="s">
        <v>96</v>
      </c>
      <c r="F109" t="s">
        <v>226</v>
      </c>
      <c r="G109" t="s">
        <v>37</v>
      </c>
      <c r="H109">
        <v>22</v>
      </c>
      <c r="I109" t="s">
        <v>98</v>
      </c>
      <c r="J109" t="s">
        <v>99</v>
      </c>
      <c r="K109" t="s">
        <v>100</v>
      </c>
      <c r="L109" t="s">
        <v>78</v>
      </c>
      <c r="M109" t="s">
        <v>79</v>
      </c>
      <c r="N109" t="s">
        <v>101</v>
      </c>
      <c r="O109">
        <v>1</v>
      </c>
      <c r="P109">
        <v>3500</v>
      </c>
      <c r="Q109">
        <v>20</v>
      </c>
      <c r="R109">
        <v>2800</v>
      </c>
      <c r="S109">
        <v>554.54999999999995</v>
      </c>
      <c r="T109" t="s">
        <v>81</v>
      </c>
      <c r="U109" t="s">
        <v>92</v>
      </c>
      <c r="V109" t="s">
        <v>65</v>
      </c>
    </row>
    <row r="110" spans="1:22" x14ac:dyDescent="0.35">
      <c r="A110" t="s">
        <v>444</v>
      </c>
      <c r="B110" s="5">
        <v>45407</v>
      </c>
      <c r="C110" s="5" t="str">
        <f t="shared" si="3"/>
        <v>2024</v>
      </c>
      <c r="D110" s="5" t="str">
        <f t="shared" si="2"/>
        <v>April</v>
      </c>
      <c r="E110" t="s">
        <v>446</v>
      </c>
      <c r="F110" t="s">
        <v>56</v>
      </c>
      <c r="G110" t="s">
        <v>37</v>
      </c>
      <c r="H110">
        <v>22</v>
      </c>
      <c r="I110" t="s">
        <v>126</v>
      </c>
      <c r="J110" t="s">
        <v>127</v>
      </c>
      <c r="K110" t="s">
        <v>88</v>
      </c>
      <c r="L110" t="s">
        <v>47</v>
      </c>
      <c r="M110" t="s">
        <v>48</v>
      </c>
      <c r="N110" t="s">
        <v>215</v>
      </c>
      <c r="O110">
        <v>4</v>
      </c>
      <c r="P110">
        <v>450</v>
      </c>
      <c r="Q110">
        <v>5</v>
      </c>
      <c r="R110">
        <v>1710</v>
      </c>
      <c r="S110">
        <v>290.27</v>
      </c>
      <c r="T110" t="s">
        <v>41</v>
      </c>
      <c r="U110" t="s">
        <v>51</v>
      </c>
      <c r="V110" t="s">
        <v>52</v>
      </c>
    </row>
    <row r="111" spans="1:22" x14ac:dyDescent="0.35">
      <c r="A111" t="s">
        <v>447</v>
      </c>
      <c r="B111" s="5">
        <v>45757</v>
      </c>
      <c r="C111" s="5" t="str">
        <f t="shared" si="3"/>
        <v>2025</v>
      </c>
      <c r="D111" s="5" t="str">
        <f t="shared" si="2"/>
        <v>April</v>
      </c>
      <c r="E111" t="s">
        <v>284</v>
      </c>
      <c r="F111" t="s">
        <v>449</v>
      </c>
      <c r="G111" t="s">
        <v>37</v>
      </c>
      <c r="H111">
        <v>51</v>
      </c>
      <c r="I111" t="s">
        <v>114</v>
      </c>
      <c r="J111" t="s">
        <v>115</v>
      </c>
      <c r="K111" t="s">
        <v>88</v>
      </c>
      <c r="L111" t="s">
        <v>78</v>
      </c>
      <c r="M111" t="s">
        <v>79</v>
      </c>
      <c r="N111" t="s">
        <v>80</v>
      </c>
      <c r="O111">
        <v>2</v>
      </c>
      <c r="P111">
        <v>1800</v>
      </c>
      <c r="Q111">
        <v>10</v>
      </c>
      <c r="R111">
        <v>3240</v>
      </c>
      <c r="S111">
        <v>814.52</v>
      </c>
      <c r="T111" t="s">
        <v>81</v>
      </c>
      <c r="U111" t="s">
        <v>92</v>
      </c>
      <c r="V111" t="s">
        <v>117</v>
      </c>
    </row>
    <row r="112" spans="1:22" x14ac:dyDescent="0.35">
      <c r="A112" t="s">
        <v>450</v>
      </c>
      <c r="B112" s="5">
        <v>45582</v>
      </c>
      <c r="C112" s="5" t="str">
        <f t="shared" si="3"/>
        <v>2024</v>
      </c>
      <c r="D112" s="5" t="str">
        <f t="shared" si="2"/>
        <v>October</v>
      </c>
      <c r="E112" t="s">
        <v>214</v>
      </c>
      <c r="F112" t="s">
        <v>441</v>
      </c>
      <c r="G112" t="s">
        <v>23</v>
      </c>
      <c r="H112">
        <v>26</v>
      </c>
      <c r="I112" t="s">
        <v>46</v>
      </c>
      <c r="J112" t="s">
        <v>25</v>
      </c>
      <c r="K112" t="s">
        <v>26</v>
      </c>
      <c r="L112" t="s">
        <v>47</v>
      </c>
      <c r="M112" t="s">
        <v>48</v>
      </c>
      <c r="N112" t="s">
        <v>49</v>
      </c>
      <c r="O112">
        <v>3</v>
      </c>
      <c r="P112">
        <v>150</v>
      </c>
      <c r="Q112">
        <v>20</v>
      </c>
      <c r="R112">
        <v>360</v>
      </c>
      <c r="S112">
        <v>30.33</v>
      </c>
      <c r="T112" t="s">
        <v>59</v>
      </c>
      <c r="U112" t="s">
        <v>31</v>
      </c>
      <c r="V112" t="s">
        <v>52</v>
      </c>
    </row>
    <row r="113" spans="1:22" x14ac:dyDescent="0.35">
      <c r="A113" t="s">
        <v>452</v>
      </c>
      <c r="B113" s="5">
        <v>45729</v>
      </c>
      <c r="C113" s="5" t="str">
        <f t="shared" si="3"/>
        <v>2025</v>
      </c>
      <c r="D113" s="5" t="str">
        <f t="shared" si="2"/>
        <v>March</v>
      </c>
      <c r="E113" t="s">
        <v>84</v>
      </c>
      <c r="F113" t="s">
        <v>453</v>
      </c>
      <c r="G113" t="s">
        <v>37</v>
      </c>
      <c r="H113">
        <v>37</v>
      </c>
      <c r="I113" t="s">
        <v>24</v>
      </c>
      <c r="J113" t="s">
        <v>25</v>
      </c>
      <c r="K113" t="s">
        <v>26</v>
      </c>
      <c r="L113" t="s">
        <v>89</v>
      </c>
      <c r="M113" t="s">
        <v>90</v>
      </c>
      <c r="N113" t="s">
        <v>242</v>
      </c>
      <c r="O113">
        <v>5</v>
      </c>
      <c r="P113">
        <v>6000</v>
      </c>
      <c r="Q113">
        <v>5</v>
      </c>
      <c r="R113">
        <v>28500</v>
      </c>
      <c r="S113">
        <v>4452.68</v>
      </c>
      <c r="T113" t="s">
        <v>59</v>
      </c>
      <c r="U113" t="s">
        <v>51</v>
      </c>
      <c r="V113" t="s">
        <v>117</v>
      </c>
    </row>
    <row r="114" spans="1:22" x14ac:dyDescent="0.35">
      <c r="A114" t="s">
        <v>454</v>
      </c>
      <c r="B114" s="5">
        <v>45537</v>
      </c>
      <c r="C114" s="5" t="str">
        <f t="shared" si="3"/>
        <v>2024</v>
      </c>
      <c r="D114" s="5" t="str">
        <f t="shared" si="2"/>
        <v>September</v>
      </c>
      <c r="E114" t="s">
        <v>456</v>
      </c>
      <c r="F114" t="s">
        <v>457</v>
      </c>
      <c r="G114" t="s">
        <v>23</v>
      </c>
      <c r="H114">
        <v>30</v>
      </c>
      <c r="I114" t="s">
        <v>46</v>
      </c>
      <c r="J114" t="s">
        <v>25</v>
      </c>
      <c r="K114" t="s">
        <v>26</v>
      </c>
      <c r="L114" t="s">
        <v>89</v>
      </c>
      <c r="M114" t="s">
        <v>90</v>
      </c>
      <c r="N114" t="s">
        <v>128</v>
      </c>
      <c r="O114">
        <v>5</v>
      </c>
      <c r="P114">
        <v>7000</v>
      </c>
      <c r="Q114">
        <v>5</v>
      </c>
      <c r="R114">
        <v>33250</v>
      </c>
      <c r="S114">
        <v>5689.84</v>
      </c>
      <c r="T114" t="s">
        <v>41</v>
      </c>
      <c r="U114" t="s">
        <v>31</v>
      </c>
      <c r="V114" t="s">
        <v>93</v>
      </c>
    </row>
    <row r="115" spans="1:22" x14ac:dyDescent="0.35">
      <c r="A115" t="s">
        <v>458</v>
      </c>
      <c r="B115" s="5">
        <v>45661</v>
      </c>
      <c r="C115" s="5" t="str">
        <f t="shared" si="3"/>
        <v>2025</v>
      </c>
      <c r="D115" s="5" t="str">
        <f t="shared" si="2"/>
        <v>January</v>
      </c>
      <c r="E115" t="s">
        <v>120</v>
      </c>
      <c r="F115" t="s">
        <v>168</v>
      </c>
      <c r="G115" t="s">
        <v>37</v>
      </c>
      <c r="H115">
        <v>44</v>
      </c>
      <c r="I115" t="s">
        <v>38</v>
      </c>
      <c r="J115" t="s">
        <v>39</v>
      </c>
      <c r="K115" t="s">
        <v>26</v>
      </c>
      <c r="L115" t="s">
        <v>78</v>
      </c>
      <c r="M115" t="s">
        <v>79</v>
      </c>
      <c r="N115" t="s">
        <v>80</v>
      </c>
      <c r="O115">
        <v>4</v>
      </c>
      <c r="P115">
        <v>1800</v>
      </c>
      <c r="Q115">
        <v>0</v>
      </c>
      <c r="R115">
        <v>7200</v>
      </c>
      <c r="S115">
        <v>1182.3399999999999</v>
      </c>
      <c r="T115" t="s">
        <v>30</v>
      </c>
      <c r="U115" t="s">
        <v>51</v>
      </c>
      <c r="V115" t="s">
        <v>117</v>
      </c>
    </row>
    <row r="116" spans="1:22" x14ac:dyDescent="0.35">
      <c r="A116" t="s">
        <v>460</v>
      </c>
      <c r="B116" s="5">
        <v>45664</v>
      </c>
      <c r="C116" s="5" t="str">
        <f t="shared" si="3"/>
        <v>2025</v>
      </c>
      <c r="D116" s="5" t="str">
        <f t="shared" si="2"/>
        <v>January</v>
      </c>
      <c r="E116" t="s">
        <v>256</v>
      </c>
      <c r="F116" t="s">
        <v>324</v>
      </c>
      <c r="G116" t="s">
        <v>23</v>
      </c>
      <c r="H116">
        <v>38</v>
      </c>
      <c r="I116" t="s">
        <v>46</v>
      </c>
      <c r="J116" t="s">
        <v>25</v>
      </c>
      <c r="K116" t="s">
        <v>26</v>
      </c>
      <c r="L116" t="s">
        <v>27</v>
      </c>
      <c r="M116" t="s">
        <v>28</v>
      </c>
      <c r="N116" t="s">
        <v>29</v>
      </c>
      <c r="O116">
        <v>4</v>
      </c>
      <c r="P116">
        <v>12000</v>
      </c>
      <c r="Q116">
        <v>0</v>
      </c>
      <c r="R116">
        <v>48000</v>
      </c>
      <c r="S116">
        <v>11371.15</v>
      </c>
      <c r="T116" t="s">
        <v>59</v>
      </c>
      <c r="U116" t="s">
        <v>31</v>
      </c>
      <c r="V116" t="s">
        <v>52</v>
      </c>
    </row>
    <row r="117" spans="1:22" x14ac:dyDescent="0.35">
      <c r="A117" t="s">
        <v>462</v>
      </c>
      <c r="B117" s="5">
        <v>45587</v>
      </c>
      <c r="C117" s="5" t="str">
        <f t="shared" si="3"/>
        <v>2024</v>
      </c>
      <c r="D117" s="5" t="str">
        <f t="shared" si="2"/>
        <v>October</v>
      </c>
      <c r="E117" t="s">
        <v>464</v>
      </c>
      <c r="F117" t="s">
        <v>465</v>
      </c>
      <c r="G117" t="s">
        <v>37</v>
      </c>
      <c r="H117">
        <v>39</v>
      </c>
      <c r="I117" t="s">
        <v>46</v>
      </c>
      <c r="J117" t="s">
        <v>25</v>
      </c>
      <c r="K117" t="s">
        <v>26</v>
      </c>
      <c r="L117" t="s">
        <v>89</v>
      </c>
      <c r="M117" t="s">
        <v>90</v>
      </c>
      <c r="N117" t="s">
        <v>91</v>
      </c>
      <c r="O117">
        <v>1</v>
      </c>
      <c r="P117">
        <v>9000</v>
      </c>
      <c r="Q117">
        <v>20</v>
      </c>
      <c r="R117">
        <v>7200</v>
      </c>
      <c r="S117">
        <v>1857.52</v>
      </c>
      <c r="T117" t="s">
        <v>30</v>
      </c>
      <c r="U117" t="s">
        <v>51</v>
      </c>
      <c r="V117" t="s">
        <v>60</v>
      </c>
    </row>
    <row r="118" spans="1:22" x14ac:dyDescent="0.35">
      <c r="A118" t="s">
        <v>466</v>
      </c>
      <c r="B118" s="5">
        <v>45411</v>
      </c>
      <c r="C118" s="5" t="str">
        <f t="shared" si="3"/>
        <v>2024</v>
      </c>
      <c r="D118" s="5" t="str">
        <f t="shared" si="2"/>
        <v>April</v>
      </c>
      <c r="E118" t="s">
        <v>327</v>
      </c>
      <c r="F118" t="s">
        <v>468</v>
      </c>
      <c r="G118" t="s">
        <v>37</v>
      </c>
      <c r="H118">
        <v>53</v>
      </c>
      <c r="I118" t="s">
        <v>38</v>
      </c>
      <c r="J118" t="s">
        <v>39</v>
      </c>
      <c r="K118" t="s">
        <v>26</v>
      </c>
      <c r="L118" t="s">
        <v>78</v>
      </c>
      <c r="M118" t="s">
        <v>79</v>
      </c>
      <c r="N118" t="s">
        <v>80</v>
      </c>
      <c r="O118">
        <v>2</v>
      </c>
      <c r="P118">
        <v>1800</v>
      </c>
      <c r="Q118">
        <v>5</v>
      </c>
      <c r="R118">
        <v>3420</v>
      </c>
      <c r="S118">
        <v>525.91999999999996</v>
      </c>
      <c r="T118" t="s">
        <v>41</v>
      </c>
      <c r="U118" t="s">
        <v>51</v>
      </c>
      <c r="V118" t="s">
        <v>32</v>
      </c>
    </row>
    <row r="119" spans="1:22" x14ac:dyDescent="0.35">
      <c r="A119" t="s">
        <v>469</v>
      </c>
      <c r="B119" s="5">
        <v>45667</v>
      </c>
      <c r="C119" s="5" t="str">
        <f t="shared" si="3"/>
        <v>2025</v>
      </c>
      <c r="D119" s="5" t="str">
        <f t="shared" si="2"/>
        <v>January</v>
      </c>
      <c r="E119" t="s">
        <v>471</v>
      </c>
      <c r="F119" t="s">
        <v>234</v>
      </c>
      <c r="G119" t="s">
        <v>23</v>
      </c>
      <c r="H119">
        <v>31</v>
      </c>
      <c r="I119" t="s">
        <v>24</v>
      </c>
      <c r="J119" t="s">
        <v>25</v>
      </c>
      <c r="K119" t="s">
        <v>26</v>
      </c>
      <c r="L119" t="s">
        <v>47</v>
      </c>
      <c r="M119" t="s">
        <v>48</v>
      </c>
      <c r="N119" t="s">
        <v>116</v>
      </c>
      <c r="O119">
        <v>2</v>
      </c>
      <c r="P119">
        <v>120</v>
      </c>
      <c r="Q119">
        <v>20</v>
      </c>
      <c r="R119">
        <v>192</v>
      </c>
      <c r="S119">
        <v>45.54</v>
      </c>
      <c r="T119" t="s">
        <v>59</v>
      </c>
      <c r="U119" t="s">
        <v>31</v>
      </c>
      <c r="V119" t="s">
        <v>60</v>
      </c>
    </row>
    <row r="120" spans="1:22" x14ac:dyDescent="0.35">
      <c r="A120" t="s">
        <v>472</v>
      </c>
      <c r="B120" s="5">
        <v>45318</v>
      </c>
      <c r="C120" s="5" t="str">
        <f t="shared" si="3"/>
        <v>2024</v>
      </c>
      <c r="D120" s="5" t="str">
        <f t="shared" si="2"/>
        <v>January</v>
      </c>
      <c r="E120" t="s">
        <v>474</v>
      </c>
      <c r="F120" t="s">
        <v>164</v>
      </c>
      <c r="G120" t="s">
        <v>37</v>
      </c>
      <c r="H120">
        <v>53</v>
      </c>
      <c r="I120" t="s">
        <v>114</v>
      </c>
      <c r="J120" t="s">
        <v>115</v>
      </c>
      <c r="K120" t="s">
        <v>88</v>
      </c>
      <c r="L120" t="s">
        <v>89</v>
      </c>
      <c r="M120" t="s">
        <v>90</v>
      </c>
      <c r="N120" t="s">
        <v>128</v>
      </c>
      <c r="O120">
        <v>1</v>
      </c>
      <c r="P120">
        <v>7000</v>
      </c>
      <c r="Q120">
        <v>15</v>
      </c>
      <c r="R120">
        <v>5950</v>
      </c>
      <c r="S120">
        <v>692.2</v>
      </c>
      <c r="T120" t="s">
        <v>41</v>
      </c>
      <c r="U120" t="s">
        <v>51</v>
      </c>
      <c r="V120" t="s">
        <v>52</v>
      </c>
    </row>
    <row r="121" spans="1:22" x14ac:dyDescent="0.35">
      <c r="A121" t="s">
        <v>475</v>
      </c>
      <c r="B121" s="5">
        <v>45734</v>
      </c>
      <c r="C121" s="5" t="str">
        <f t="shared" si="3"/>
        <v>2025</v>
      </c>
      <c r="D121" s="5" t="str">
        <f t="shared" si="2"/>
        <v>March</v>
      </c>
      <c r="E121" t="s">
        <v>218</v>
      </c>
      <c r="F121" t="s">
        <v>477</v>
      </c>
      <c r="G121" t="s">
        <v>37</v>
      </c>
      <c r="H121">
        <v>39</v>
      </c>
      <c r="I121" t="s">
        <v>86</v>
      </c>
      <c r="J121" t="s">
        <v>87</v>
      </c>
      <c r="K121" t="s">
        <v>88</v>
      </c>
      <c r="L121" t="s">
        <v>27</v>
      </c>
      <c r="M121" t="s">
        <v>28</v>
      </c>
      <c r="N121" t="s">
        <v>140</v>
      </c>
      <c r="O121">
        <v>5</v>
      </c>
      <c r="P121">
        <v>65000</v>
      </c>
      <c r="Q121">
        <v>15</v>
      </c>
      <c r="R121">
        <v>276250</v>
      </c>
      <c r="S121">
        <v>54063.82</v>
      </c>
      <c r="T121" t="s">
        <v>30</v>
      </c>
      <c r="U121" t="s">
        <v>31</v>
      </c>
      <c r="V121" t="s">
        <v>52</v>
      </c>
    </row>
    <row r="122" spans="1:22" x14ac:dyDescent="0.35">
      <c r="A122" t="s">
        <v>478</v>
      </c>
      <c r="B122" s="5">
        <v>45316</v>
      </c>
      <c r="C122" s="5" t="str">
        <f t="shared" si="3"/>
        <v>2024</v>
      </c>
      <c r="D122" s="5" t="str">
        <f t="shared" si="2"/>
        <v>January</v>
      </c>
      <c r="E122" t="s">
        <v>171</v>
      </c>
      <c r="F122" t="s">
        <v>219</v>
      </c>
      <c r="G122" t="s">
        <v>23</v>
      </c>
      <c r="H122">
        <v>25</v>
      </c>
      <c r="I122" t="s">
        <v>57</v>
      </c>
      <c r="J122" t="s">
        <v>57</v>
      </c>
      <c r="K122" t="s">
        <v>58</v>
      </c>
      <c r="L122" t="s">
        <v>47</v>
      </c>
      <c r="M122" t="s">
        <v>48</v>
      </c>
      <c r="N122" t="s">
        <v>215</v>
      </c>
      <c r="O122">
        <v>1</v>
      </c>
      <c r="P122">
        <v>450</v>
      </c>
      <c r="Q122">
        <v>20</v>
      </c>
      <c r="R122">
        <v>360</v>
      </c>
      <c r="S122">
        <v>43.26</v>
      </c>
      <c r="T122" t="s">
        <v>30</v>
      </c>
      <c r="U122" t="s">
        <v>51</v>
      </c>
      <c r="V122" t="s">
        <v>32</v>
      </c>
    </row>
    <row r="123" spans="1:22" x14ac:dyDescent="0.35">
      <c r="A123" t="s">
        <v>479</v>
      </c>
      <c r="B123" s="5">
        <v>45413</v>
      </c>
      <c r="C123" s="5" t="str">
        <f t="shared" si="3"/>
        <v>2024</v>
      </c>
      <c r="D123" s="5" t="str">
        <f t="shared" si="2"/>
        <v>May</v>
      </c>
      <c r="E123" t="s">
        <v>480</v>
      </c>
      <c r="F123" t="s">
        <v>275</v>
      </c>
      <c r="G123" t="s">
        <v>23</v>
      </c>
      <c r="H123">
        <v>55</v>
      </c>
      <c r="I123" t="s">
        <v>114</v>
      </c>
      <c r="J123" t="s">
        <v>115</v>
      </c>
      <c r="K123" t="s">
        <v>88</v>
      </c>
      <c r="L123" t="s">
        <v>78</v>
      </c>
      <c r="M123" t="s">
        <v>79</v>
      </c>
      <c r="N123" t="s">
        <v>101</v>
      </c>
      <c r="O123">
        <v>5</v>
      </c>
      <c r="P123">
        <v>3500</v>
      </c>
      <c r="Q123">
        <v>0</v>
      </c>
      <c r="R123">
        <v>17500</v>
      </c>
      <c r="S123">
        <v>1753.15</v>
      </c>
      <c r="T123" t="s">
        <v>30</v>
      </c>
      <c r="U123" t="s">
        <v>31</v>
      </c>
      <c r="V123" t="s">
        <v>52</v>
      </c>
    </row>
    <row r="124" spans="1:22" x14ac:dyDescent="0.35">
      <c r="A124" t="s">
        <v>481</v>
      </c>
      <c r="B124" s="5">
        <v>45355</v>
      </c>
      <c r="C124" s="5" t="str">
        <f t="shared" si="3"/>
        <v>2024</v>
      </c>
      <c r="D124" s="5" t="str">
        <f t="shared" si="2"/>
        <v>March</v>
      </c>
      <c r="E124" t="s">
        <v>351</v>
      </c>
      <c r="F124" t="s">
        <v>483</v>
      </c>
      <c r="G124" t="s">
        <v>23</v>
      </c>
      <c r="H124">
        <v>26</v>
      </c>
      <c r="I124" t="s">
        <v>57</v>
      </c>
      <c r="J124" t="s">
        <v>57</v>
      </c>
      <c r="K124" t="s">
        <v>58</v>
      </c>
      <c r="L124" t="s">
        <v>47</v>
      </c>
      <c r="M124" t="s">
        <v>48</v>
      </c>
      <c r="N124" t="s">
        <v>49</v>
      </c>
      <c r="O124">
        <v>5</v>
      </c>
      <c r="P124">
        <v>150</v>
      </c>
      <c r="Q124">
        <v>0</v>
      </c>
      <c r="R124">
        <v>750</v>
      </c>
      <c r="S124">
        <v>185.89</v>
      </c>
      <c r="T124" t="s">
        <v>81</v>
      </c>
      <c r="U124" t="s">
        <v>51</v>
      </c>
      <c r="V124" t="s">
        <v>65</v>
      </c>
    </row>
    <row r="125" spans="1:22" x14ac:dyDescent="0.35">
      <c r="A125" t="s">
        <v>484</v>
      </c>
      <c r="B125" s="5">
        <v>45600</v>
      </c>
      <c r="C125" s="5" t="str">
        <f t="shared" si="3"/>
        <v>2024</v>
      </c>
      <c r="D125" s="5" t="str">
        <f t="shared" si="2"/>
        <v>November</v>
      </c>
      <c r="E125" t="s">
        <v>486</v>
      </c>
      <c r="F125" t="s">
        <v>45</v>
      </c>
      <c r="G125" t="s">
        <v>37</v>
      </c>
      <c r="H125">
        <v>45</v>
      </c>
      <c r="I125" t="s">
        <v>38</v>
      </c>
      <c r="J125" t="s">
        <v>39</v>
      </c>
      <c r="K125" t="s">
        <v>26</v>
      </c>
      <c r="L125" t="s">
        <v>89</v>
      </c>
      <c r="M125" t="s">
        <v>90</v>
      </c>
      <c r="N125" t="s">
        <v>128</v>
      </c>
      <c r="O125">
        <v>3</v>
      </c>
      <c r="P125">
        <v>7000</v>
      </c>
      <c r="Q125">
        <v>0</v>
      </c>
      <c r="R125">
        <v>21000</v>
      </c>
      <c r="S125">
        <v>2981.68</v>
      </c>
      <c r="T125" t="s">
        <v>41</v>
      </c>
      <c r="U125" t="s">
        <v>51</v>
      </c>
      <c r="V125" t="s">
        <v>60</v>
      </c>
    </row>
    <row r="126" spans="1:22" x14ac:dyDescent="0.35">
      <c r="A126" t="s">
        <v>487</v>
      </c>
      <c r="B126" s="5">
        <v>45691</v>
      </c>
      <c r="C126" s="5" t="str">
        <f t="shared" si="3"/>
        <v>2025</v>
      </c>
      <c r="D126" s="5" t="str">
        <f t="shared" si="2"/>
        <v>February</v>
      </c>
      <c r="E126" t="s">
        <v>488</v>
      </c>
      <c r="F126" t="s">
        <v>489</v>
      </c>
      <c r="G126" t="s">
        <v>23</v>
      </c>
      <c r="H126">
        <v>52</v>
      </c>
      <c r="I126" t="s">
        <v>98</v>
      </c>
      <c r="J126" t="s">
        <v>99</v>
      </c>
      <c r="K126" t="s">
        <v>100</v>
      </c>
      <c r="L126" t="s">
        <v>47</v>
      </c>
      <c r="M126" t="s">
        <v>48</v>
      </c>
      <c r="N126" t="s">
        <v>49</v>
      </c>
      <c r="O126">
        <v>1</v>
      </c>
      <c r="P126">
        <v>150</v>
      </c>
      <c r="Q126">
        <v>10</v>
      </c>
      <c r="R126">
        <v>135</v>
      </c>
      <c r="S126">
        <v>34.22</v>
      </c>
      <c r="T126" t="s">
        <v>50</v>
      </c>
      <c r="U126" t="s">
        <v>51</v>
      </c>
      <c r="V126" t="s">
        <v>117</v>
      </c>
    </row>
    <row r="127" spans="1:22" x14ac:dyDescent="0.35">
      <c r="A127" t="s">
        <v>490</v>
      </c>
      <c r="B127" s="5">
        <v>45498</v>
      </c>
      <c r="C127" s="5" t="str">
        <f t="shared" si="3"/>
        <v>2024</v>
      </c>
      <c r="D127" s="5" t="str">
        <f t="shared" si="2"/>
        <v>July</v>
      </c>
      <c r="E127" t="s">
        <v>167</v>
      </c>
      <c r="F127" t="s">
        <v>492</v>
      </c>
      <c r="G127" t="s">
        <v>23</v>
      </c>
      <c r="H127">
        <v>49</v>
      </c>
      <c r="I127" t="s">
        <v>46</v>
      </c>
      <c r="J127" t="s">
        <v>25</v>
      </c>
      <c r="K127" t="s">
        <v>26</v>
      </c>
      <c r="L127" t="s">
        <v>78</v>
      </c>
      <c r="M127" t="s">
        <v>79</v>
      </c>
      <c r="N127" t="s">
        <v>80</v>
      </c>
      <c r="O127">
        <v>1</v>
      </c>
      <c r="P127">
        <v>1800</v>
      </c>
      <c r="Q127">
        <v>5</v>
      </c>
      <c r="R127">
        <v>1710</v>
      </c>
      <c r="S127">
        <v>346.46</v>
      </c>
      <c r="T127" t="s">
        <v>30</v>
      </c>
      <c r="U127" t="s">
        <v>31</v>
      </c>
      <c r="V127" t="s">
        <v>52</v>
      </c>
    </row>
    <row r="128" spans="1:22" x14ac:dyDescent="0.35">
      <c r="A128" t="s">
        <v>493</v>
      </c>
      <c r="B128" s="5">
        <v>45527</v>
      </c>
      <c r="C128" s="5" t="str">
        <f t="shared" si="3"/>
        <v>2024</v>
      </c>
      <c r="D128" s="5" t="str">
        <f t="shared" si="2"/>
        <v>August</v>
      </c>
      <c r="E128" t="s">
        <v>494</v>
      </c>
      <c r="F128" t="s">
        <v>241</v>
      </c>
      <c r="G128" t="s">
        <v>23</v>
      </c>
      <c r="H128">
        <v>24</v>
      </c>
      <c r="I128" t="s">
        <v>24</v>
      </c>
      <c r="J128" t="s">
        <v>25</v>
      </c>
      <c r="K128" t="s">
        <v>26</v>
      </c>
      <c r="L128" t="s">
        <v>47</v>
      </c>
      <c r="M128" t="s">
        <v>48</v>
      </c>
      <c r="N128" t="s">
        <v>49</v>
      </c>
      <c r="O128">
        <v>5</v>
      </c>
      <c r="P128">
        <v>150</v>
      </c>
      <c r="Q128">
        <v>0</v>
      </c>
      <c r="R128">
        <v>750</v>
      </c>
      <c r="S128">
        <v>206.75</v>
      </c>
      <c r="T128" t="s">
        <v>81</v>
      </c>
      <c r="U128" t="s">
        <v>92</v>
      </c>
      <c r="V128" t="s">
        <v>65</v>
      </c>
    </row>
    <row r="129" spans="1:22" x14ac:dyDescent="0.35">
      <c r="A129" t="s">
        <v>495</v>
      </c>
      <c r="B129" s="5">
        <v>45769</v>
      </c>
      <c r="C129" s="5" t="str">
        <f t="shared" si="3"/>
        <v>2025</v>
      </c>
      <c r="D129" s="5" t="str">
        <f t="shared" si="2"/>
        <v>April</v>
      </c>
      <c r="E129" t="s">
        <v>497</v>
      </c>
      <c r="F129" t="s">
        <v>36</v>
      </c>
      <c r="G129" t="s">
        <v>23</v>
      </c>
      <c r="H129">
        <v>33</v>
      </c>
      <c r="I129" t="s">
        <v>126</v>
      </c>
      <c r="J129" t="s">
        <v>127</v>
      </c>
      <c r="K129" t="s">
        <v>88</v>
      </c>
      <c r="L129" t="s">
        <v>47</v>
      </c>
      <c r="M129" t="s">
        <v>48</v>
      </c>
      <c r="N129" t="s">
        <v>49</v>
      </c>
      <c r="O129">
        <v>3</v>
      </c>
      <c r="P129">
        <v>150</v>
      </c>
      <c r="Q129">
        <v>20</v>
      </c>
      <c r="R129">
        <v>360</v>
      </c>
      <c r="S129">
        <v>94.11</v>
      </c>
      <c r="T129" t="s">
        <v>30</v>
      </c>
      <c r="U129" t="s">
        <v>31</v>
      </c>
      <c r="V129" t="s">
        <v>52</v>
      </c>
    </row>
    <row r="130" spans="1:22" x14ac:dyDescent="0.35">
      <c r="A130" t="s">
        <v>498</v>
      </c>
      <c r="B130" s="5">
        <v>45762</v>
      </c>
      <c r="C130" s="5" t="str">
        <f t="shared" si="3"/>
        <v>2025</v>
      </c>
      <c r="D130" s="5" t="str">
        <f t="shared" ref="D130:D193" si="4">TEXT(B130,"mmmm")</f>
        <v>April</v>
      </c>
      <c r="E130" t="s">
        <v>494</v>
      </c>
      <c r="F130" t="s">
        <v>499</v>
      </c>
      <c r="G130" t="s">
        <v>37</v>
      </c>
      <c r="H130">
        <v>22</v>
      </c>
      <c r="I130" t="s">
        <v>24</v>
      </c>
      <c r="J130" t="s">
        <v>25</v>
      </c>
      <c r="K130" t="s">
        <v>26</v>
      </c>
      <c r="L130" t="s">
        <v>78</v>
      </c>
      <c r="M130" t="s">
        <v>79</v>
      </c>
      <c r="N130" t="s">
        <v>80</v>
      </c>
      <c r="O130">
        <v>4</v>
      </c>
      <c r="P130">
        <v>1800</v>
      </c>
      <c r="Q130">
        <v>20</v>
      </c>
      <c r="R130">
        <v>5760</v>
      </c>
      <c r="S130">
        <v>1021.76</v>
      </c>
      <c r="T130" t="s">
        <v>50</v>
      </c>
      <c r="U130" t="s">
        <v>51</v>
      </c>
      <c r="V130" t="s">
        <v>60</v>
      </c>
    </row>
    <row r="131" spans="1:22" x14ac:dyDescent="0.35">
      <c r="A131" t="s">
        <v>500</v>
      </c>
      <c r="B131" s="5">
        <v>45571</v>
      </c>
      <c r="C131" s="5" t="str">
        <f t="shared" ref="C131:C194" si="5">TEXT(B131,"YYYY")</f>
        <v>2024</v>
      </c>
      <c r="D131" s="5" t="str">
        <f t="shared" si="4"/>
        <v>October</v>
      </c>
      <c r="E131" t="s">
        <v>274</v>
      </c>
      <c r="F131" t="s">
        <v>502</v>
      </c>
      <c r="G131" t="s">
        <v>37</v>
      </c>
      <c r="H131">
        <v>42</v>
      </c>
      <c r="I131" t="s">
        <v>126</v>
      </c>
      <c r="J131" t="s">
        <v>127</v>
      </c>
      <c r="K131" t="s">
        <v>88</v>
      </c>
      <c r="L131" t="s">
        <v>78</v>
      </c>
      <c r="M131" t="s">
        <v>79</v>
      </c>
      <c r="N131" t="s">
        <v>156</v>
      </c>
      <c r="O131">
        <v>3</v>
      </c>
      <c r="P131">
        <v>800</v>
      </c>
      <c r="Q131">
        <v>15</v>
      </c>
      <c r="R131">
        <v>2040</v>
      </c>
      <c r="S131">
        <v>359.33</v>
      </c>
      <c r="T131" t="s">
        <v>50</v>
      </c>
      <c r="U131" t="s">
        <v>51</v>
      </c>
      <c r="V131" t="s">
        <v>93</v>
      </c>
    </row>
    <row r="132" spans="1:22" x14ac:dyDescent="0.35">
      <c r="A132" t="s">
        <v>503</v>
      </c>
      <c r="B132" s="5">
        <v>45681</v>
      </c>
      <c r="C132" s="5" t="str">
        <f t="shared" si="5"/>
        <v>2025</v>
      </c>
      <c r="D132" s="5" t="str">
        <f t="shared" si="4"/>
        <v>January</v>
      </c>
      <c r="E132" t="s">
        <v>505</v>
      </c>
      <c r="F132" t="s">
        <v>56</v>
      </c>
      <c r="G132" t="s">
        <v>23</v>
      </c>
      <c r="H132">
        <v>58</v>
      </c>
      <c r="I132" t="s">
        <v>57</v>
      </c>
      <c r="J132" t="s">
        <v>57</v>
      </c>
      <c r="K132" t="s">
        <v>58</v>
      </c>
      <c r="L132" t="s">
        <v>27</v>
      </c>
      <c r="M132" t="s">
        <v>28</v>
      </c>
      <c r="N132" t="s">
        <v>73</v>
      </c>
      <c r="O132">
        <v>1</v>
      </c>
      <c r="P132">
        <v>25000</v>
      </c>
      <c r="Q132">
        <v>10</v>
      </c>
      <c r="R132">
        <v>22500</v>
      </c>
      <c r="S132">
        <v>2898.33</v>
      </c>
      <c r="T132" t="s">
        <v>59</v>
      </c>
      <c r="U132" t="s">
        <v>51</v>
      </c>
      <c r="V132" t="s">
        <v>52</v>
      </c>
    </row>
    <row r="133" spans="1:22" x14ac:dyDescent="0.35">
      <c r="A133" t="s">
        <v>506</v>
      </c>
      <c r="B133" s="5">
        <v>45774</v>
      </c>
      <c r="C133" s="5" t="str">
        <f t="shared" si="5"/>
        <v>2025</v>
      </c>
      <c r="D133" s="5" t="str">
        <f t="shared" si="4"/>
        <v>April</v>
      </c>
      <c r="E133" t="s">
        <v>508</v>
      </c>
      <c r="F133" t="s">
        <v>305</v>
      </c>
      <c r="G133" t="s">
        <v>23</v>
      </c>
      <c r="H133">
        <v>24</v>
      </c>
      <c r="I133" t="s">
        <v>38</v>
      </c>
      <c r="J133" t="s">
        <v>39</v>
      </c>
      <c r="K133" t="s">
        <v>26</v>
      </c>
      <c r="L133" t="s">
        <v>27</v>
      </c>
      <c r="M133" t="s">
        <v>28</v>
      </c>
      <c r="N133" t="s">
        <v>29</v>
      </c>
      <c r="O133">
        <v>5</v>
      </c>
      <c r="P133">
        <v>12000</v>
      </c>
      <c r="Q133">
        <v>20</v>
      </c>
      <c r="R133">
        <v>48000</v>
      </c>
      <c r="S133">
        <v>12490.08</v>
      </c>
      <c r="T133" t="s">
        <v>81</v>
      </c>
      <c r="U133" t="s">
        <v>92</v>
      </c>
      <c r="V133" t="s">
        <v>93</v>
      </c>
    </row>
    <row r="134" spans="1:22" x14ac:dyDescent="0.35">
      <c r="A134" t="s">
        <v>509</v>
      </c>
      <c r="B134" s="5">
        <v>45464</v>
      </c>
      <c r="C134" s="5" t="str">
        <f t="shared" si="5"/>
        <v>2024</v>
      </c>
      <c r="D134" s="5" t="str">
        <f t="shared" si="4"/>
        <v>June</v>
      </c>
      <c r="E134" t="s">
        <v>96</v>
      </c>
      <c r="F134" t="s">
        <v>511</v>
      </c>
      <c r="G134" t="s">
        <v>37</v>
      </c>
      <c r="H134">
        <v>37</v>
      </c>
      <c r="I134" t="s">
        <v>98</v>
      </c>
      <c r="J134" t="s">
        <v>99</v>
      </c>
      <c r="K134" t="s">
        <v>100</v>
      </c>
      <c r="L134" t="s">
        <v>89</v>
      </c>
      <c r="M134" t="s">
        <v>90</v>
      </c>
      <c r="N134" t="s">
        <v>242</v>
      </c>
      <c r="O134">
        <v>4</v>
      </c>
      <c r="P134">
        <v>6000</v>
      </c>
      <c r="Q134">
        <v>10</v>
      </c>
      <c r="R134">
        <v>21600</v>
      </c>
      <c r="S134">
        <v>3080.43</v>
      </c>
      <c r="T134" t="s">
        <v>41</v>
      </c>
      <c r="U134" t="s">
        <v>51</v>
      </c>
      <c r="V134" t="s">
        <v>93</v>
      </c>
    </row>
    <row r="135" spans="1:22" x14ac:dyDescent="0.35">
      <c r="A135" t="s">
        <v>512</v>
      </c>
      <c r="B135" s="5">
        <v>45664</v>
      </c>
      <c r="C135" s="5" t="str">
        <f t="shared" si="5"/>
        <v>2025</v>
      </c>
      <c r="D135" s="5" t="str">
        <f t="shared" si="4"/>
        <v>January</v>
      </c>
      <c r="E135" t="s">
        <v>513</v>
      </c>
      <c r="F135" t="s">
        <v>514</v>
      </c>
      <c r="G135" t="s">
        <v>37</v>
      </c>
      <c r="H135">
        <v>58</v>
      </c>
      <c r="I135" t="s">
        <v>86</v>
      </c>
      <c r="J135" t="s">
        <v>87</v>
      </c>
      <c r="K135" t="s">
        <v>88</v>
      </c>
      <c r="L135" t="s">
        <v>47</v>
      </c>
      <c r="M135" t="s">
        <v>48</v>
      </c>
      <c r="N135" t="s">
        <v>49</v>
      </c>
      <c r="O135">
        <v>2</v>
      </c>
      <c r="P135">
        <v>150</v>
      </c>
      <c r="Q135">
        <v>0</v>
      </c>
      <c r="R135">
        <v>300</v>
      </c>
      <c r="S135">
        <v>78.599999999999994</v>
      </c>
      <c r="T135" t="s">
        <v>59</v>
      </c>
      <c r="U135" t="s">
        <v>51</v>
      </c>
      <c r="V135" t="s">
        <v>60</v>
      </c>
    </row>
    <row r="136" spans="1:22" x14ac:dyDescent="0.35">
      <c r="A136" t="s">
        <v>515</v>
      </c>
      <c r="B136" s="5">
        <v>45800</v>
      </c>
      <c r="C136" s="5" t="str">
        <f t="shared" si="5"/>
        <v>2025</v>
      </c>
      <c r="D136" s="5" t="str">
        <f t="shared" si="4"/>
        <v>May</v>
      </c>
      <c r="E136" t="s">
        <v>517</v>
      </c>
      <c r="F136" t="s">
        <v>285</v>
      </c>
      <c r="G136" t="s">
        <v>37</v>
      </c>
      <c r="H136">
        <v>42</v>
      </c>
      <c r="I136" t="s">
        <v>46</v>
      </c>
      <c r="J136" t="s">
        <v>25</v>
      </c>
      <c r="K136" t="s">
        <v>26</v>
      </c>
      <c r="L136" t="s">
        <v>89</v>
      </c>
      <c r="M136" t="s">
        <v>90</v>
      </c>
      <c r="N136" t="s">
        <v>242</v>
      </c>
      <c r="O136">
        <v>2</v>
      </c>
      <c r="P136">
        <v>6000</v>
      </c>
      <c r="Q136">
        <v>0</v>
      </c>
      <c r="R136">
        <v>12000</v>
      </c>
      <c r="S136">
        <v>2647.04</v>
      </c>
      <c r="T136" t="s">
        <v>81</v>
      </c>
      <c r="U136" t="s">
        <v>92</v>
      </c>
      <c r="V136" t="s">
        <v>65</v>
      </c>
    </row>
    <row r="137" spans="1:22" x14ac:dyDescent="0.35">
      <c r="A137" t="s">
        <v>518</v>
      </c>
      <c r="B137" s="5">
        <v>45644</v>
      </c>
      <c r="C137" s="5" t="str">
        <f t="shared" si="5"/>
        <v>2024</v>
      </c>
      <c r="D137" s="5" t="str">
        <f t="shared" si="4"/>
        <v>December</v>
      </c>
      <c r="E137" t="s">
        <v>44</v>
      </c>
      <c r="F137" t="s">
        <v>344</v>
      </c>
      <c r="G137" t="s">
        <v>37</v>
      </c>
      <c r="H137">
        <v>58</v>
      </c>
      <c r="I137" t="s">
        <v>38</v>
      </c>
      <c r="J137" t="s">
        <v>39</v>
      </c>
      <c r="K137" t="s">
        <v>26</v>
      </c>
      <c r="L137" t="s">
        <v>89</v>
      </c>
      <c r="M137" t="s">
        <v>90</v>
      </c>
      <c r="N137" t="s">
        <v>242</v>
      </c>
      <c r="O137">
        <v>4</v>
      </c>
      <c r="P137">
        <v>6000</v>
      </c>
      <c r="Q137">
        <v>0</v>
      </c>
      <c r="R137">
        <v>24000</v>
      </c>
      <c r="S137">
        <v>5302.83</v>
      </c>
      <c r="T137" t="s">
        <v>41</v>
      </c>
      <c r="U137" t="s">
        <v>51</v>
      </c>
      <c r="V137" t="s">
        <v>117</v>
      </c>
    </row>
    <row r="138" spans="1:22" x14ac:dyDescent="0.35">
      <c r="A138" t="s">
        <v>520</v>
      </c>
      <c r="B138" s="5">
        <v>45569</v>
      </c>
      <c r="C138" s="5" t="str">
        <f t="shared" si="5"/>
        <v>2024</v>
      </c>
      <c r="D138" s="5" t="str">
        <f t="shared" si="4"/>
        <v>October</v>
      </c>
      <c r="E138" t="s">
        <v>522</v>
      </c>
      <c r="F138" t="s">
        <v>523</v>
      </c>
      <c r="G138" t="s">
        <v>23</v>
      </c>
      <c r="H138">
        <v>27</v>
      </c>
      <c r="I138" t="s">
        <v>98</v>
      </c>
      <c r="J138" t="s">
        <v>99</v>
      </c>
      <c r="K138" t="s">
        <v>100</v>
      </c>
      <c r="L138" t="s">
        <v>47</v>
      </c>
      <c r="M138" t="s">
        <v>48</v>
      </c>
      <c r="N138" t="s">
        <v>116</v>
      </c>
      <c r="O138">
        <v>1</v>
      </c>
      <c r="P138">
        <v>120</v>
      </c>
      <c r="Q138">
        <v>10</v>
      </c>
      <c r="R138">
        <v>108</v>
      </c>
      <c r="S138">
        <v>13.9</v>
      </c>
      <c r="T138" t="s">
        <v>59</v>
      </c>
      <c r="U138" t="s">
        <v>51</v>
      </c>
      <c r="V138" t="s">
        <v>60</v>
      </c>
    </row>
    <row r="139" spans="1:22" x14ac:dyDescent="0.35">
      <c r="A139" t="s">
        <v>524</v>
      </c>
      <c r="B139" s="5">
        <v>45563</v>
      </c>
      <c r="C139" s="5" t="str">
        <f t="shared" si="5"/>
        <v>2024</v>
      </c>
      <c r="D139" s="5" t="str">
        <f t="shared" si="4"/>
        <v>September</v>
      </c>
      <c r="E139" t="s">
        <v>526</v>
      </c>
      <c r="F139" t="s">
        <v>527</v>
      </c>
      <c r="G139" t="s">
        <v>23</v>
      </c>
      <c r="H139">
        <v>44</v>
      </c>
      <c r="I139" t="s">
        <v>86</v>
      </c>
      <c r="J139" t="s">
        <v>87</v>
      </c>
      <c r="K139" t="s">
        <v>88</v>
      </c>
      <c r="L139" t="s">
        <v>78</v>
      </c>
      <c r="M139" t="s">
        <v>79</v>
      </c>
      <c r="N139" t="s">
        <v>101</v>
      </c>
      <c r="O139">
        <v>1</v>
      </c>
      <c r="P139">
        <v>3500</v>
      </c>
      <c r="Q139">
        <v>15</v>
      </c>
      <c r="R139">
        <v>2975</v>
      </c>
      <c r="S139">
        <v>380.63</v>
      </c>
      <c r="T139" t="s">
        <v>50</v>
      </c>
      <c r="U139" t="s">
        <v>92</v>
      </c>
      <c r="V139" t="s">
        <v>52</v>
      </c>
    </row>
    <row r="140" spans="1:22" x14ac:dyDescent="0.35">
      <c r="A140" t="s">
        <v>528</v>
      </c>
      <c r="B140" s="5">
        <v>45597</v>
      </c>
      <c r="C140" s="5" t="str">
        <f t="shared" si="5"/>
        <v>2024</v>
      </c>
      <c r="D140" s="5" t="str">
        <f t="shared" si="4"/>
        <v>November</v>
      </c>
      <c r="E140" t="s">
        <v>530</v>
      </c>
      <c r="F140" t="s">
        <v>278</v>
      </c>
      <c r="G140" t="s">
        <v>37</v>
      </c>
      <c r="H140">
        <v>51</v>
      </c>
      <c r="I140" t="s">
        <v>86</v>
      </c>
      <c r="J140" t="s">
        <v>87</v>
      </c>
      <c r="K140" t="s">
        <v>88</v>
      </c>
      <c r="L140" t="s">
        <v>89</v>
      </c>
      <c r="M140" t="s">
        <v>90</v>
      </c>
      <c r="N140" t="s">
        <v>242</v>
      </c>
      <c r="O140">
        <v>1</v>
      </c>
      <c r="P140">
        <v>6000</v>
      </c>
      <c r="Q140">
        <v>5</v>
      </c>
      <c r="R140">
        <v>5700</v>
      </c>
      <c r="S140">
        <v>1018.88</v>
      </c>
      <c r="T140" t="s">
        <v>50</v>
      </c>
      <c r="U140" t="s">
        <v>31</v>
      </c>
      <c r="V140" t="s">
        <v>65</v>
      </c>
    </row>
    <row r="141" spans="1:22" x14ac:dyDescent="0.35">
      <c r="A141" t="s">
        <v>531</v>
      </c>
      <c r="B141" s="5">
        <v>45585</v>
      </c>
      <c r="C141" s="5" t="str">
        <f t="shared" si="5"/>
        <v>2024</v>
      </c>
      <c r="D141" s="5" t="str">
        <f t="shared" si="4"/>
        <v>October</v>
      </c>
      <c r="E141" t="s">
        <v>357</v>
      </c>
      <c r="F141" t="s">
        <v>238</v>
      </c>
      <c r="G141" t="s">
        <v>23</v>
      </c>
      <c r="H141">
        <v>34</v>
      </c>
      <c r="I141" t="s">
        <v>86</v>
      </c>
      <c r="J141" t="s">
        <v>87</v>
      </c>
      <c r="K141" t="s">
        <v>88</v>
      </c>
      <c r="L141" t="s">
        <v>78</v>
      </c>
      <c r="M141" t="s">
        <v>79</v>
      </c>
      <c r="N141" t="s">
        <v>101</v>
      </c>
      <c r="O141">
        <v>4</v>
      </c>
      <c r="P141">
        <v>3500</v>
      </c>
      <c r="Q141">
        <v>20</v>
      </c>
      <c r="R141">
        <v>11200</v>
      </c>
      <c r="S141">
        <v>2583.48</v>
      </c>
      <c r="T141" t="s">
        <v>41</v>
      </c>
      <c r="U141" t="s">
        <v>51</v>
      </c>
      <c r="V141" t="s">
        <v>65</v>
      </c>
    </row>
    <row r="142" spans="1:22" x14ac:dyDescent="0.35">
      <c r="A142" t="s">
        <v>533</v>
      </c>
      <c r="B142" s="5">
        <v>45829</v>
      </c>
      <c r="C142" s="5" t="str">
        <f t="shared" si="5"/>
        <v>2025</v>
      </c>
      <c r="D142" s="5" t="str">
        <f t="shared" si="4"/>
        <v>June</v>
      </c>
      <c r="E142" t="s">
        <v>534</v>
      </c>
      <c r="F142" t="s">
        <v>275</v>
      </c>
      <c r="G142" t="s">
        <v>37</v>
      </c>
      <c r="H142">
        <v>47</v>
      </c>
      <c r="I142" t="s">
        <v>38</v>
      </c>
      <c r="J142" t="s">
        <v>39</v>
      </c>
      <c r="K142" t="s">
        <v>26</v>
      </c>
      <c r="L142" t="s">
        <v>27</v>
      </c>
      <c r="M142" t="s">
        <v>28</v>
      </c>
      <c r="N142" t="s">
        <v>140</v>
      </c>
      <c r="O142">
        <v>3</v>
      </c>
      <c r="P142">
        <v>65000</v>
      </c>
      <c r="Q142">
        <v>15</v>
      </c>
      <c r="R142">
        <v>165750</v>
      </c>
      <c r="S142">
        <v>30588.31</v>
      </c>
      <c r="T142" t="s">
        <v>41</v>
      </c>
      <c r="U142" t="s">
        <v>51</v>
      </c>
      <c r="V142" t="s">
        <v>65</v>
      </c>
    </row>
    <row r="143" spans="1:22" x14ac:dyDescent="0.35">
      <c r="A143" t="s">
        <v>535</v>
      </c>
      <c r="B143" s="5">
        <v>45738</v>
      </c>
      <c r="C143" s="5" t="str">
        <f t="shared" si="5"/>
        <v>2025</v>
      </c>
      <c r="D143" s="5" t="str">
        <f t="shared" si="4"/>
        <v>March</v>
      </c>
      <c r="E143" t="s">
        <v>167</v>
      </c>
      <c r="F143" t="s">
        <v>536</v>
      </c>
      <c r="G143" t="s">
        <v>37</v>
      </c>
      <c r="H143">
        <v>42</v>
      </c>
      <c r="I143" t="s">
        <v>114</v>
      </c>
      <c r="J143" t="s">
        <v>115</v>
      </c>
      <c r="K143" t="s">
        <v>88</v>
      </c>
      <c r="L143" t="s">
        <v>27</v>
      </c>
      <c r="M143" t="s">
        <v>28</v>
      </c>
      <c r="N143" t="s">
        <v>29</v>
      </c>
      <c r="O143">
        <v>4</v>
      </c>
      <c r="P143">
        <v>12000</v>
      </c>
      <c r="Q143">
        <v>15</v>
      </c>
      <c r="R143">
        <v>40800</v>
      </c>
      <c r="S143">
        <v>6245.5</v>
      </c>
      <c r="T143" t="s">
        <v>50</v>
      </c>
      <c r="U143" t="s">
        <v>51</v>
      </c>
      <c r="V143" t="s">
        <v>65</v>
      </c>
    </row>
    <row r="144" spans="1:22" x14ac:dyDescent="0.35">
      <c r="A144" t="s">
        <v>537</v>
      </c>
      <c r="B144" s="5">
        <v>45696</v>
      </c>
      <c r="C144" s="5" t="str">
        <f t="shared" si="5"/>
        <v>2025</v>
      </c>
      <c r="D144" s="5" t="str">
        <f t="shared" si="4"/>
        <v>February</v>
      </c>
      <c r="E144" t="s">
        <v>539</v>
      </c>
      <c r="F144" t="s">
        <v>175</v>
      </c>
      <c r="G144" t="s">
        <v>37</v>
      </c>
      <c r="H144">
        <v>58</v>
      </c>
      <c r="I144" t="s">
        <v>57</v>
      </c>
      <c r="J144" t="s">
        <v>57</v>
      </c>
      <c r="K144" t="s">
        <v>58</v>
      </c>
      <c r="L144" t="s">
        <v>27</v>
      </c>
      <c r="M144" t="s">
        <v>28</v>
      </c>
      <c r="N144" t="s">
        <v>140</v>
      </c>
      <c r="O144">
        <v>2</v>
      </c>
      <c r="P144">
        <v>65000</v>
      </c>
      <c r="Q144">
        <v>0</v>
      </c>
      <c r="R144">
        <v>130000</v>
      </c>
      <c r="S144">
        <v>17868.13</v>
      </c>
      <c r="T144" t="s">
        <v>81</v>
      </c>
      <c r="U144" t="s">
        <v>51</v>
      </c>
      <c r="V144" t="s">
        <v>117</v>
      </c>
    </row>
    <row r="145" spans="1:22" x14ac:dyDescent="0.35">
      <c r="A145" t="s">
        <v>540</v>
      </c>
      <c r="B145" s="5">
        <v>45793</v>
      </c>
      <c r="C145" s="5" t="str">
        <f t="shared" si="5"/>
        <v>2025</v>
      </c>
      <c r="D145" s="5" t="str">
        <f t="shared" si="4"/>
        <v>May</v>
      </c>
      <c r="E145" t="s">
        <v>542</v>
      </c>
      <c r="F145" t="s">
        <v>543</v>
      </c>
      <c r="G145" t="s">
        <v>23</v>
      </c>
      <c r="H145">
        <v>27</v>
      </c>
      <c r="I145" t="s">
        <v>24</v>
      </c>
      <c r="J145" t="s">
        <v>25</v>
      </c>
      <c r="K145" t="s">
        <v>26</v>
      </c>
      <c r="L145" t="s">
        <v>27</v>
      </c>
      <c r="M145" t="s">
        <v>28</v>
      </c>
      <c r="N145" t="s">
        <v>140</v>
      </c>
      <c r="O145">
        <v>2</v>
      </c>
      <c r="P145">
        <v>65000</v>
      </c>
      <c r="Q145">
        <v>10</v>
      </c>
      <c r="R145">
        <v>117000</v>
      </c>
      <c r="S145">
        <v>10978.6</v>
      </c>
      <c r="T145" t="s">
        <v>41</v>
      </c>
      <c r="U145" t="s">
        <v>31</v>
      </c>
      <c r="V145" t="s">
        <v>60</v>
      </c>
    </row>
    <row r="146" spans="1:22" x14ac:dyDescent="0.35">
      <c r="A146" t="s">
        <v>544</v>
      </c>
      <c r="B146" s="5">
        <v>45378</v>
      </c>
      <c r="C146" s="5" t="str">
        <f t="shared" si="5"/>
        <v>2024</v>
      </c>
      <c r="D146" s="5" t="str">
        <f t="shared" si="4"/>
        <v>March</v>
      </c>
      <c r="E146" t="s">
        <v>388</v>
      </c>
      <c r="F146" t="s">
        <v>546</v>
      </c>
      <c r="G146" t="s">
        <v>23</v>
      </c>
      <c r="H146">
        <v>55</v>
      </c>
      <c r="I146" t="s">
        <v>86</v>
      </c>
      <c r="J146" t="s">
        <v>87</v>
      </c>
      <c r="K146" t="s">
        <v>88</v>
      </c>
      <c r="L146" t="s">
        <v>78</v>
      </c>
      <c r="M146" t="s">
        <v>79</v>
      </c>
      <c r="N146" t="s">
        <v>101</v>
      </c>
      <c r="O146">
        <v>5</v>
      </c>
      <c r="P146">
        <v>3500</v>
      </c>
      <c r="Q146">
        <v>10</v>
      </c>
      <c r="R146">
        <v>15750</v>
      </c>
      <c r="S146">
        <v>2526.29</v>
      </c>
      <c r="T146" t="s">
        <v>50</v>
      </c>
      <c r="U146" t="s">
        <v>51</v>
      </c>
      <c r="V146" t="s">
        <v>65</v>
      </c>
    </row>
    <row r="147" spans="1:22" x14ac:dyDescent="0.35">
      <c r="A147" t="s">
        <v>547</v>
      </c>
      <c r="B147" s="5">
        <v>45728</v>
      </c>
      <c r="C147" s="5" t="str">
        <f t="shared" si="5"/>
        <v>2025</v>
      </c>
      <c r="D147" s="5" t="str">
        <f t="shared" si="4"/>
        <v>March</v>
      </c>
      <c r="E147" t="s">
        <v>312</v>
      </c>
      <c r="F147" t="s">
        <v>430</v>
      </c>
      <c r="G147" t="s">
        <v>23</v>
      </c>
      <c r="H147">
        <v>48</v>
      </c>
      <c r="I147" t="s">
        <v>114</v>
      </c>
      <c r="J147" t="s">
        <v>115</v>
      </c>
      <c r="K147" t="s">
        <v>88</v>
      </c>
      <c r="L147" t="s">
        <v>78</v>
      </c>
      <c r="M147" t="s">
        <v>79</v>
      </c>
      <c r="N147" t="s">
        <v>156</v>
      </c>
      <c r="O147">
        <v>1</v>
      </c>
      <c r="P147">
        <v>800</v>
      </c>
      <c r="Q147">
        <v>5</v>
      </c>
      <c r="R147">
        <v>760</v>
      </c>
      <c r="S147">
        <v>156.13</v>
      </c>
      <c r="T147" t="s">
        <v>41</v>
      </c>
      <c r="U147" t="s">
        <v>31</v>
      </c>
      <c r="V147" t="s">
        <v>32</v>
      </c>
    </row>
    <row r="148" spans="1:22" x14ac:dyDescent="0.35">
      <c r="A148" t="s">
        <v>549</v>
      </c>
      <c r="B148" s="5">
        <v>45827</v>
      </c>
      <c r="C148" s="5" t="str">
        <f t="shared" si="5"/>
        <v>2025</v>
      </c>
      <c r="D148" s="5" t="str">
        <f t="shared" si="4"/>
        <v>June</v>
      </c>
      <c r="E148" t="s">
        <v>343</v>
      </c>
      <c r="F148" t="s">
        <v>418</v>
      </c>
      <c r="G148" t="s">
        <v>23</v>
      </c>
      <c r="H148">
        <v>60</v>
      </c>
      <c r="I148" t="s">
        <v>98</v>
      </c>
      <c r="J148" t="s">
        <v>99</v>
      </c>
      <c r="K148" t="s">
        <v>100</v>
      </c>
      <c r="L148" t="s">
        <v>89</v>
      </c>
      <c r="M148" t="s">
        <v>90</v>
      </c>
      <c r="N148" t="s">
        <v>91</v>
      </c>
      <c r="O148">
        <v>1</v>
      </c>
      <c r="P148">
        <v>9000</v>
      </c>
      <c r="Q148">
        <v>10</v>
      </c>
      <c r="R148">
        <v>8100</v>
      </c>
      <c r="S148">
        <v>743.42</v>
      </c>
      <c r="T148" t="s">
        <v>30</v>
      </c>
      <c r="U148" t="s">
        <v>92</v>
      </c>
      <c r="V148" t="s">
        <v>93</v>
      </c>
    </row>
    <row r="149" spans="1:22" x14ac:dyDescent="0.35">
      <c r="A149" t="s">
        <v>551</v>
      </c>
      <c r="B149" s="5">
        <v>45371</v>
      </c>
      <c r="C149" s="5" t="str">
        <f t="shared" si="5"/>
        <v>2024</v>
      </c>
      <c r="D149" s="5" t="str">
        <f t="shared" si="4"/>
        <v>March</v>
      </c>
      <c r="E149" t="s">
        <v>508</v>
      </c>
      <c r="F149" t="s">
        <v>344</v>
      </c>
      <c r="G149" t="s">
        <v>37</v>
      </c>
      <c r="H149">
        <v>26</v>
      </c>
      <c r="I149" t="s">
        <v>57</v>
      </c>
      <c r="J149" t="s">
        <v>57</v>
      </c>
      <c r="K149" t="s">
        <v>58</v>
      </c>
      <c r="L149" t="s">
        <v>47</v>
      </c>
      <c r="M149" t="s">
        <v>48</v>
      </c>
      <c r="N149" t="s">
        <v>49</v>
      </c>
      <c r="O149">
        <v>4</v>
      </c>
      <c r="P149">
        <v>150</v>
      </c>
      <c r="Q149">
        <v>5</v>
      </c>
      <c r="R149">
        <v>570</v>
      </c>
      <c r="S149">
        <v>150.75</v>
      </c>
      <c r="T149" t="s">
        <v>81</v>
      </c>
      <c r="U149" t="s">
        <v>51</v>
      </c>
      <c r="V149" t="s">
        <v>52</v>
      </c>
    </row>
    <row r="150" spans="1:22" x14ac:dyDescent="0.35">
      <c r="A150" t="s">
        <v>553</v>
      </c>
      <c r="B150" s="5">
        <v>45537</v>
      </c>
      <c r="C150" s="5" t="str">
        <f t="shared" si="5"/>
        <v>2024</v>
      </c>
      <c r="D150" s="5" t="str">
        <f t="shared" si="4"/>
        <v>September</v>
      </c>
      <c r="E150" t="s">
        <v>554</v>
      </c>
      <c r="F150" t="s">
        <v>555</v>
      </c>
      <c r="G150" t="s">
        <v>23</v>
      </c>
      <c r="H150">
        <v>59</v>
      </c>
      <c r="I150" t="s">
        <v>38</v>
      </c>
      <c r="J150" t="s">
        <v>39</v>
      </c>
      <c r="K150" t="s">
        <v>26</v>
      </c>
      <c r="L150" t="s">
        <v>47</v>
      </c>
      <c r="M150" t="s">
        <v>48</v>
      </c>
      <c r="N150" t="s">
        <v>49</v>
      </c>
      <c r="O150">
        <v>1</v>
      </c>
      <c r="P150">
        <v>150</v>
      </c>
      <c r="Q150">
        <v>10</v>
      </c>
      <c r="R150">
        <v>135</v>
      </c>
      <c r="S150">
        <v>32.450000000000003</v>
      </c>
      <c r="T150" t="s">
        <v>50</v>
      </c>
      <c r="U150" t="s">
        <v>51</v>
      </c>
      <c r="V150" t="s">
        <v>65</v>
      </c>
    </row>
    <row r="151" spans="1:22" x14ac:dyDescent="0.35">
      <c r="A151" t="s">
        <v>556</v>
      </c>
      <c r="B151" s="5">
        <v>45312</v>
      </c>
      <c r="C151" s="5" t="str">
        <f t="shared" si="5"/>
        <v>2024</v>
      </c>
      <c r="D151" s="5" t="str">
        <f t="shared" si="4"/>
        <v>January</v>
      </c>
      <c r="E151" t="s">
        <v>505</v>
      </c>
      <c r="F151" t="s">
        <v>468</v>
      </c>
      <c r="G151" t="s">
        <v>23</v>
      </c>
      <c r="H151">
        <v>60</v>
      </c>
      <c r="I151" t="s">
        <v>126</v>
      </c>
      <c r="J151" t="s">
        <v>127</v>
      </c>
      <c r="K151" t="s">
        <v>88</v>
      </c>
      <c r="L151" t="s">
        <v>27</v>
      </c>
      <c r="M151" t="s">
        <v>28</v>
      </c>
      <c r="N151" t="s">
        <v>40</v>
      </c>
      <c r="O151">
        <v>2</v>
      </c>
      <c r="P151">
        <v>2500</v>
      </c>
      <c r="Q151">
        <v>20</v>
      </c>
      <c r="R151">
        <v>4000</v>
      </c>
      <c r="S151">
        <v>719.25</v>
      </c>
      <c r="T151" t="s">
        <v>59</v>
      </c>
      <c r="U151" t="s">
        <v>51</v>
      </c>
      <c r="V151" t="s">
        <v>60</v>
      </c>
    </row>
    <row r="152" spans="1:22" x14ac:dyDescent="0.35">
      <c r="A152" t="s">
        <v>558</v>
      </c>
      <c r="B152" s="5">
        <v>45506</v>
      </c>
      <c r="C152" s="5" t="str">
        <f t="shared" si="5"/>
        <v>2024</v>
      </c>
      <c r="D152" s="5" t="str">
        <f t="shared" si="4"/>
        <v>August</v>
      </c>
      <c r="E152" t="s">
        <v>312</v>
      </c>
      <c r="F152" t="s">
        <v>560</v>
      </c>
      <c r="G152" t="s">
        <v>23</v>
      </c>
      <c r="H152">
        <v>27</v>
      </c>
      <c r="I152" t="s">
        <v>86</v>
      </c>
      <c r="J152" t="s">
        <v>87</v>
      </c>
      <c r="K152" t="s">
        <v>88</v>
      </c>
      <c r="L152" t="s">
        <v>78</v>
      </c>
      <c r="M152" t="s">
        <v>79</v>
      </c>
      <c r="N152" t="s">
        <v>156</v>
      </c>
      <c r="O152">
        <v>4</v>
      </c>
      <c r="P152">
        <v>800</v>
      </c>
      <c r="Q152">
        <v>15</v>
      </c>
      <c r="R152">
        <v>2720</v>
      </c>
      <c r="S152">
        <v>701.29</v>
      </c>
      <c r="T152" t="s">
        <v>59</v>
      </c>
      <c r="U152" t="s">
        <v>51</v>
      </c>
      <c r="V152" t="s">
        <v>32</v>
      </c>
    </row>
    <row r="153" spans="1:22" x14ac:dyDescent="0.35">
      <c r="A153" t="s">
        <v>561</v>
      </c>
      <c r="B153" s="5">
        <v>45686</v>
      </c>
      <c r="C153" s="5" t="str">
        <f t="shared" si="5"/>
        <v>2025</v>
      </c>
      <c r="D153" s="5" t="str">
        <f t="shared" si="4"/>
        <v>January</v>
      </c>
      <c r="E153" t="s">
        <v>76</v>
      </c>
      <c r="F153" t="s">
        <v>563</v>
      </c>
      <c r="G153" t="s">
        <v>23</v>
      </c>
      <c r="H153">
        <v>35</v>
      </c>
      <c r="I153" t="s">
        <v>57</v>
      </c>
      <c r="J153" t="s">
        <v>57</v>
      </c>
      <c r="K153" t="s">
        <v>58</v>
      </c>
      <c r="L153" t="s">
        <v>89</v>
      </c>
      <c r="M153" t="s">
        <v>90</v>
      </c>
      <c r="N153" t="s">
        <v>242</v>
      </c>
      <c r="O153">
        <v>4</v>
      </c>
      <c r="P153">
        <v>6000</v>
      </c>
      <c r="Q153">
        <v>20</v>
      </c>
      <c r="R153">
        <v>19200</v>
      </c>
      <c r="S153">
        <v>3883.23</v>
      </c>
      <c r="T153" t="s">
        <v>30</v>
      </c>
      <c r="U153" t="s">
        <v>92</v>
      </c>
      <c r="V153" t="s">
        <v>93</v>
      </c>
    </row>
    <row r="154" spans="1:22" x14ac:dyDescent="0.35">
      <c r="A154" t="s">
        <v>564</v>
      </c>
      <c r="B154" s="5">
        <v>45411</v>
      </c>
      <c r="C154" s="5" t="str">
        <f t="shared" si="5"/>
        <v>2024</v>
      </c>
      <c r="D154" s="5" t="str">
        <f t="shared" si="4"/>
        <v>April</v>
      </c>
      <c r="E154" t="s">
        <v>400</v>
      </c>
      <c r="F154" t="s">
        <v>222</v>
      </c>
      <c r="G154" t="s">
        <v>23</v>
      </c>
      <c r="H154">
        <v>44</v>
      </c>
      <c r="I154" t="s">
        <v>98</v>
      </c>
      <c r="J154" t="s">
        <v>99</v>
      </c>
      <c r="K154" t="s">
        <v>100</v>
      </c>
      <c r="L154" t="s">
        <v>89</v>
      </c>
      <c r="M154" t="s">
        <v>90</v>
      </c>
      <c r="N154" t="s">
        <v>91</v>
      </c>
      <c r="O154">
        <v>5</v>
      </c>
      <c r="P154">
        <v>9000</v>
      </c>
      <c r="Q154">
        <v>20</v>
      </c>
      <c r="R154">
        <v>36000</v>
      </c>
      <c r="S154">
        <v>4396.8500000000004</v>
      </c>
      <c r="T154" t="s">
        <v>41</v>
      </c>
      <c r="U154" t="s">
        <v>31</v>
      </c>
      <c r="V154" t="s">
        <v>52</v>
      </c>
    </row>
    <row r="155" spans="1:22" x14ac:dyDescent="0.35">
      <c r="A155" t="s">
        <v>565</v>
      </c>
      <c r="B155" s="5">
        <v>45316</v>
      </c>
      <c r="C155" s="5" t="str">
        <f t="shared" si="5"/>
        <v>2024</v>
      </c>
      <c r="D155" s="5" t="str">
        <f t="shared" si="4"/>
        <v>January</v>
      </c>
      <c r="E155" t="s">
        <v>392</v>
      </c>
      <c r="F155" t="s">
        <v>566</v>
      </c>
      <c r="G155" t="s">
        <v>23</v>
      </c>
      <c r="H155">
        <v>38</v>
      </c>
      <c r="I155" t="s">
        <v>86</v>
      </c>
      <c r="J155" t="s">
        <v>87</v>
      </c>
      <c r="K155" t="s">
        <v>88</v>
      </c>
      <c r="L155" t="s">
        <v>78</v>
      </c>
      <c r="M155" t="s">
        <v>79</v>
      </c>
      <c r="N155" t="s">
        <v>101</v>
      </c>
      <c r="O155">
        <v>1</v>
      </c>
      <c r="P155">
        <v>3500</v>
      </c>
      <c r="Q155">
        <v>0</v>
      </c>
      <c r="R155">
        <v>3500</v>
      </c>
      <c r="S155">
        <v>968.4</v>
      </c>
      <c r="T155" t="s">
        <v>30</v>
      </c>
      <c r="U155" t="s">
        <v>51</v>
      </c>
      <c r="V155" t="s">
        <v>52</v>
      </c>
    </row>
    <row r="156" spans="1:22" x14ac:dyDescent="0.35">
      <c r="A156" t="s">
        <v>567</v>
      </c>
      <c r="B156" s="5">
        <v>45608</v>
      </c>
      <c r="C156" s="5" t="str">
        <f t="shared" si="5"/>
        <v>2024</v>
      </c>
      <c r="D156" s="5" t="str">
        <f t="shared" si="4"/>
        <v>November</v>
      </c>
      <c r="E156" t="s">
        <v>139</v>
      </c>
      <c r="F156" t="s">
        <v>569</v>
      </c>
      <c r="G156" t="s">
        <v>23</v>
      </c>
      <c r="H156">
        <v>25</v>
      </c>
      <c r="I156" t="s">
        <v>114</v>
      </c>
      <c r="J156" t="s">
        <v>115</v>
      </c>
      <c r="K156" t="s">
        <v>88</v>
      </c>
      <c r="L156" t="s">
        <v>89</v>
      </c>
      <c r="M156" t="s">
        <v>90</v>
      </c>
      <c r="N156" t="s">
        <v>91</v>
      </c>
      <c r="O156">
        <v>2</v>
      </c>
      <c r="P156">
        <v>9000</v>
      </c>
      <c r="Q156">
        <v>15</v>
      </c>
      <c r="R156">
        <v>15300</v>
      </c>
      <c r="S156">
        <v>2962.96</v>
      </c>
      <c r="T156" t="s">
        <v>81</v>
      </c>
      <c r="U156" t="s">
        <v>51</v>
      </c>
      <c r="V156" t="s">
        <v>32</v>
      </c>
    </row>
    <row r="157" spans="1:22" x14ac:dyDescent="0.35">
      <c r="A157" t="s">
        <v>570</v>
      </c>
      <c r="B157" s="5">
        <v>45689</v>
      </c>
      <c r="C157" s="5" t="str">
        <f t="shared" si="5"/>
        <v>2025</v>
      </c>
      <c r="D157" s="5" t="str">
        <f t="shared" si="4"/>
        <v>February</v>
      </c>
      <c r="E157" t="s">
        <v>571</v>
      </c>
      <c r="F157" t="s">
        <v>278</v>
      </c>
      <c r="G157" t="s">
        <v>23</v>
      </c>
      <c r="H157">
        <v>59</v>
      </c>
      <c r="I157" t="s">
        <v>126</v>
      </c>
      <c r="J157" t="s">
        <v>127</v>
      </c>
      <c r="K157" t="s">
        <v>88</v>
      </c>
      <c r="L157" t="s">
        <v>89</v>
      </c>
      <c r="M157" t="s">
        <v>90</v>
      </c>
      <c r="N157" t="s">
        <v>128</v>
      </c>
      <c r="O157">
        <v>5</v>
      </c>
      <c r="P157">
        <v>7000</v>
      </c>
      <c r="Q157">
        <v>5</v>
      </c>
      <c r="R157">
        <v>33250</v>
      </c>
      <c r="S157">
        <v>6120.08</v>
      </c>
      <c r="T157" t="s">
        <v>81</v>
      </c>
      <c r="U157" t="s">
        <v>51</v>
      </c>
      <c r="V157" t="s">
        <v>65</v>
      </c>
    </row>
    <row r="158" spans="1:22" x14ac:dyDescent="0.35">
      <c r="A158" t="s">
        <v>572</v>
      </c>
      <c r="B158" s="5">
        <v>45502</v>
      </c>
      <c r="C158" s="5" t="str">
        <f t="shared" si="5"/>
        <v>2024</v>
      </c>
      <c r="D158" s="5" t="str">
        <f t="shared" si="4"/>
        <v>July</v>
      </c>
      <c r="E158" t="s">
        <v>373</v>
      </c>
      <c r="F158" t="s">
        <v>574</v>
      </c>
      <c r="G158" t="s">
        <v>23</v>
      </c>
      <c r="H158">
        <v>22</v>
      </c>
      <c r="I158" t="s">
        <v>38</v>
      </c>
      <c r="J158" t="s">
        <v>39</v>
      </c>
      <c r="K158" t="s">
        <v>26</v>
      </c>
      <c r="L158" t="s">
        <v>47</v>
      </c>
      <c r="M158" t="s">
        <v>48</v>
      </c>
      <c r="N158" t="s">
        <v>116</v>
      </c>
      <c r="O158">
        <v>2</v>
      </c>
      <c r="P158">
        <v>120</v>
      </c>
      <c r="Q158">
        <v>5</v>
      </c>
      <c r="R158">
        <v>228</v>
      </c>
      <c r="S158">
        <v>63.69</v>
      </c>
      <c r="T158" t="s">
        <v>81</v>
      </c>
      <c r="U158" t="s">
        <v>51</v>
      </c>
      <c r="V158" t="s">
        <v>65</v>
      </c>
    </row>
    <row r="159" spans="1:22" x14ac:dyDescent="0.35">
      <c r="A159" t="s">
        <v>575</v>
      </c>
      <c r="B159" s="5">
        <v>45334</v>
      </c>
      <c r="C159" s="5" t="str">
        <f t="shared" si="5"/>
        <v>2024</v>
      </c>
      <c r="D159" s="5" t="str">
        <f t="shared" si="4"/>
        <v>February</v>
      </c>
      <c r="E159" t="s">
        <v>256</v>
      </c>
      <c r="F159" t="s">
        <v>577</v>
      </c>
      <c r="G159" t="s">
        <v>23</v>
      </c>
      <c r="H159">
        <v>31</v>
      </c>
      <c r="I159" t="s">
        <v>38</v>
      </c>
      <c r="J159" t="s">
        <v>39</v>
      </c>
      <c r="K159" t="s">
        <v>26</v>
      </c>
      <c r="L159" t="s">
        <v>78</v>
      </c>
      <c r="M159" t="s">
        <v>79</v>
      </c>
      <c r="N159" t="s">
        <v>80</v>
      </c>
      <c r="O159">
        <v>4</v>
      </c>
      <c r="P159">
        <v>1800</v>
      </c>
      <c r="Q159">
        <v>20</v>
      </c>
      <c r="R159">
        <v>5760</v>
      </c>
      <c r="S159">
        <v>1145.42</v>
      </c>
      <c r="T159" t="s">
        <v>81</v>
      </c>
      <c r="U159" t="s">
        <v>31</v>
      </c>
      <c r="V159" t="s">
        <v>117</v>
      </c>
    </row>
    <row r="160" spans="1:22" x14ac:dyDescent="0.35">
      <c r="A160" t="s">
        <v>578</v>
      </c>
      <c r="B160" s="5">
        <v>45747</v>
      </c>
      <c r="C160" s="5" t="str">
        <f t="shared" si="5"/>
        <v>2025</v>
      </c>
      <c r="D160" s="5" t="str">
        <f t="shared" si="4"/>
        <v>March</v>
      </c>
      <c r="E160" t="s">
        <v>208</v>
      </c>
      <c r="F160" t="s">
        <v>546</v>
      </c>
      <c r="G160" t="s">
        <v>23</v>
      </c>
      <c r="H160">
        <v>30</v>
      </c>
      <c r="I160" t="s">
        <v>46</v>
      </c>
      <c r="J160" t="s">
        <v>25</v>
      </c>
      <c r="K160" t="s">
        <v>26</v>
      </c>
      <c r="L160" t="s">
        <v>47</v>
      </c>
      <c r="M160" t="s">
        <v>48</v>
      </c>
      <c r="N160" t="s">
        <v>116</v>
      </c>
      <c r="O160">
        <v>4</v>
      </c>
      <c r="P160">
        <v>120</v>
      </c>
      <c r="Q160">
        <v>10</v>
      </c>
      <c r="R160">
        <v>432</v>
      </c>
      <c r="S160">
        <v>58.78</v>
      </c>
      <c r="T160" t="s">
        <v>30</v>
      </c>
      <c r="U160" t="s">
        <v>51</v>
      </c>
      <c r="V160" t="s">
        <v>32</v>
      </c>
    </row>
    <row r="161" spans="1:22" x14ac:dyDescent="0.35">
      <c r="A161" t="s">
        <v>580</v>
      </c>
      <c r="B161" s="5">
        <v>45480</v>
      </c>
      <c r="C161" s="5" t="str">
        <f t="shared" si="5"/>
        <v>2024</v>
      </c>
      <c r="D161" s="5" t="str">
        <f t="shared" si="4"/>
        <v>July</v>
      </c>
      <c r="E161" t="s">
        <v>474</v>
      </c>
      <c r="F161" t="s">
        <v>581</v>
      </c>
      <c r="G161" t="s">
        <v>23</v>
      </c>
      <c r="H161">
        <v>24</v>
      </c>
      <c r="I161" t="s">
        <v>57</v>
      </c>
      <c r="J161" t="s">
        <v>57</v>
      </c>
      <c r="K161" t="s">
        <v>58</v>
      </c>
      <c r="L161" t="s">
        <v>78</v>
      </c>
      <c r="M161" t="s">
        <v>79</v>
      </c>
      <c r="N161" t="s">
        <v>156</v>
      </c>
      <c r="O161">
        <v>4</v>
      </c>
      <c r="P161">
        <v>800</v>
      </c>
      <c r="Q161">
        <v>15</v>
      </c>
      <c r="R161">
        <v>2720</v>
      </c>
      <c r="S161">
        <v>252.57</v>
      </c>
      <c r="T161" t="s">
        <v>59</v>
      </c>
      <c r="U161" t="s">
        <v>31</v>
      </c>
      <c r="V161" t="s">
        <v>93</v>
      </c>
    </row>
    <row r="162" spans="1:22" x14ac:dyDescent="0.35">
      <c r="A162" t="s">
        <v>582</v>
      </c>
      <c r="B162" s="5">
        <v>45351</v>
      </c>
      <c r="C162" s="5" t="str">
        <f t="shared" si="5"/>
        <v>2024</v>
      </c>
      <c r="D162" s="5" t="str">
        <f t="shared" si="4"/>
        <v>February</v>
      </c>
      <c r="E162" t="s">
        <v>337</v>
      </c>
      <c r="F162" t="s">
        <v>584</v>
      </c>
      <c r="G162" t="s">
        <v>23</v>
      </c>
      <c r="H162">
        <v>43</v>
      </c>
      <c r="I162" t="s">
        <v>46</v>
      </c>
      <c r="J162" t="s">
        <v>25</v>
      </c>
      <c r="K162" t="s">
        <v>26</v>
      </c>
      <c r="L162" t="s">
        <v>89</v>
      </c>
      <c r="M162" t="s">
        <v>90</v>
      </c>
      <c r="N162" t="s">
        <v>91</v>
      </c>
      <c r="O162">
        <v>4</v>
      </c>
      <c r="P162">
        <v>9000</v>
      </c>
      <c r="Q162">
        <v>0</v>
      </c>
      <c r="R162">
        <v>36000</v>
      </c>
      <c r="S162">
        <v>8713.14</v>
      </c>
      <c r="T162" t="s">
        <v>41</v>
      </c>
      <c r="U162" t="s">
        <v>92</v>
      </c>
      <c r="V162" t="s">
        <v>117</v>
      </c>
    </row>
    <row r="163" spans="1:22" x14ac:dyDescent="0.35">
      <c r="A163" t="s">
        <v>585</v>
      </c>
      <c r="B163" s="5">
        <v>45394</v>
      </c>
      <c r="C163" s="5" t="str">
        <f t="shared" si="5"/>
        <v>2024</v>
      </c>
      <c r="D163" s="5" t="str">
        <f t="shared" si="4"/>
        <v>April</v>
      </c>
      <c r="E163" t="s">
        <v>587</v>
      </c>
      <c r="F163" t="s">
        <v>305</v>
      </c>
      <c r="G163" t="s">
        <v>37</v>
      </c>
      <c r="H163">
        <v>44</v>
      </c>
      <c r="I163" t="s">
        <v>46</v>
      </c>
      <c r="J163" t="s">
        <v>25</v>
      </c>
      <c r="K163" t="s">
        <v>26</v>
      </c>
      <c r="L163" t="s">
        <v>78</v>
      </c>
      <c r="M163" t="s">
        <v>79</v>
      </c>
      <c r="N163" t="s">
        <v>156</v>
      </c>
      <c r="O163">
        <v>3</v>
      </c>
      <c r="P163">
        <v>800</v>
      </c>
      <c r="Q163">
        <v>5</v>
      </c>
      <c r="R163">
        <v>2280</v>
      </c>
      <c r="S163">
        <v>203.13</v>
      </c>
      <c r="T163" t="s">
        <v>50</v>
      </c>
      <c r="U163" t="s">
        <v>92</v>
      </c>
      <c r="V163" t="s">
        <v>52</v>
      </c>
    </row>
    <row r="164" spans="1:22" x14ac:dyDescent="0.35">
      <c r="A164" t="s">
        <v>588</v>
      </c>
      <c r="B164" s="5">
        <v>45617</v>
      </c>
      <c r="C164" s="5" t="str">
        <f t="shared" si="5"/>
        <v>2024</v>
      </c>
      <c r="D164" s="5" t="str">
        <f t="shared" si="4"/>
        <v>November</v>
      </c>
      <c r="E164" t="s">
        <v>392</v>
      </c>
      <c r="F164" t="s">
        <v>589</v>
      </c>
      <c r="G164" t="s">
        <v>37</v>
      </c>
      <c r="H164">
        <v>54</v>
      </c>
      <c r="I164" t="s">
        <v>24</v>
      </c>
      <c r="J164" t="s">
        <v>25</v>
      </c>
      <c r="K164" t="s">
        <v>26</v>
      </c>
      <c r="L164" t="s">
        <v>47</v>
      </c>
      <c r="M164" t="s">
        <v>48</v>
      </c>
      <c r="N164" t="s">
        <v>49</v>
      </c>
      <c r="O164">
        <v>2</v>
      </c>
      <c r="P164">
        <v>150</v>
      </c>
      <c r="Q164">
        <v>20</v>
      </c>
      <c r="R164">
        <v>240</v>
      </c>
      <c r="S164">
        <v>35.880000000000003</v>
      </c>
      <c r="T164" t="s">
        <v>81</v>
      </c>
      <c r="U164" t="s">
        <v>51</v>
      </c>
      <c r="V164" t="s">
        <v>60</v>
      </c>
    </row>
    <row r="165" spans="1:22" x14ac:dyDescent="0.35">
      <c r="A165" t="s">
        <v>590</v>
      </c>
      <c r="B165" s="5">
        <v>45672</v>
      </c>
      <c r="C165" s="5" t="str">
        <f t="shared" si="5"/>
        <v>2025</v>
      </c>
      <c r="D165" s="5" t="str">
        <f t="shared" si="4"/>
        <v>January</v>
      </c>
      <c r="E165" t="s">
        <v>436</v>
      </c>
      <c r="F165" t="s">
        <v>230</v>
      </c>
      <c r="G165" t="s">
        <v>23</v>
      </c>
      <c r="H165">
        <v>42</v>
      </c>
      <c r="I165" t="s">
        <v>46</v>
      </c>
      <c r="J165" t="s">
        <v>25</v>
      </c>
      <c r="K165" t="s">
        <v>26</v>
      </c>
      <c r="L165" t="s">
        <v>78</v>
      </c>
      <c r="M165" t="s">
        <v>79</v>
      </c>
      <c r="N165" t="s">
        <v>80</v>
      </c>
      <c r="O165">
        <v>5</v>
      </c>
      <c r="P165">
        <v>1800</v>
      </c>
      <c r="Q165">
        <v>15</v>
      </c>
      <c r="R165">
        <v>7650</v>
      </c>
      <c r="S165">
        <v>2000.19</v>
      </c>
      <c r="T165" t="s">
        <v>59</v>
      </c>
      <c r="U165" t="s">
        <v>51</v>
      </c>
      <c r="V165" t="s">
        <v>32</v>
      </c>
    </row>
    <row r="166" spans="1:22" x14ac:dyDescent="0.35">
      <c r="A166" t="s">
        <v>592</v>
      </c>
      <c r="B166" s="5">
        <v>45357</v>
      </c>
      <c r="C166" s="5" t="str">
        <f t="shared" si="5"/>
        <v>2024</v>
      </c>
      <c r="D166" s="5" t="str">
        <f t="shared" si="4"/>
        <v>March</v>
      </c>
      <c r="E166" t="s">
        <v>594</v>
      </c>
      <c r="F166" t="s">
        <v>595</v>
      </c>
      <c r="G166" t="s">
        <v>37</v>
      </c>
      <c r="H166">
        <v>39</v>
      </c>
      <c r="I166" t="s">
        <v>126</v>
      </c>
      <c r="J166" t="s">
        <v>127</v>
      </c>
      <c r="K166" t="s">
        <v>88</v>
      </c>
      <c r="L166" t="s">
        <v>47</v>
      </c>
      <c r="M166" t="s">
        <v>48</v>
      </c>
      <c r="N166" t="s">
        <v>215</v>
      </c>
      <c r="O166">
        <v>1</v>
      </c>
      <c r="P166">
        <v>450</v>
      </c>
      <c r="Q166">
        <v>5</v>
      </c>
      <c r="R166">
        <v>427.5</v>
      </c>
      <c r="S166">
        <v>90.55</v>
      </c>
      <c r="T166" t="s">
        <v>30</v>
      </c>
      <c r="U166" t="s">
        <v>51</v>
      </c>
      <c r="V166" t="s">
        <v>65</v>
      </c>
    </row>
    <row r="167" spans="1:22" x14ac:dyDescent="0.35">
      <c r="A167" t="s">
        <v>596</v>
      </c>
      <c r="B167" s="5">
        <v>45584</v>
      </c>
      <c r="C167" s="5" t="str">
        <f t="shared" si="5"/>
        <v>2024</v>
      </c>
      <c r="D167" s="5" t="str">
        <f t="shared" si="4"/>
        <v>October</v>
      </c>
      <c r="E167" t="s">
        <v>598</v>
      </c>
      <c r="F167" t="s">
        <v>151</v>
      </c>
      <c r="G167" t="s">
        <v>23</v>
      </c>
      <c r="H167">
        <v>22</v>
      </c>
      <c r="I167" t="s">
        <v>57</v>
      </c>
      <c r="J167" t="s">
        <v>57</v>
      </c>
      <c r="K167" t="s">
        <v>58</v>
      </c>
      <c r="L167" t="s">
        <v>47</v>
      </c>
      <c r="M167" t="s">
        <v>48</v>
      </c>
      <c r="N167" t="s">
        <v>215</v>
      </c>
      <c r="O167">
        <v>1</v>
      </c>
      <c r="P167">
        <v>450</v>
      </c>
      <c r="Q167">
        <v>10</v>
      </c>
      <c r="R167">
        <v>405</v>
      </c>
      <c r="S167">
        <v>95.41</v>
      </c>
      <c r="T167" t="s">
        <v>59</v>
      </c>
      <c r="U167" t="s">
        <v>31</v>
      </c>
      <c r="V167" t="s">
        <v>117</v>
      </c>
    </row>
    <row r="168" spans="1:22" x14ac:dyDescent="0.35">
      <c r="A168" t="s">
        <v>599</v>
      </c>
      <c r="B168" s="5">
        <v>45784</v>
      </c>
      <c r="C168" s="5" t="str">
        <f t="shared" si="5"/>
        <v>2025</v>
      </c>
      <c r="D168" s="5" t="str">
        <f t="shared" si="4"/>
        <v>May</v>
      </c>
      <c r="E168" t="s">
        <v>601</v>
      </c>
      <c r="F168" t="s">
        <v>602</v>
      </c>
      <c r="G168" t="s">
        <v>23</v>
      </c>
      <c r="H168">
        <v>55</v>
      </c>
      <c r="I168" t="s">
        <v>126</v>
      </c>
      <c r="J168" t="s">
        <v>127</v>
      </c>
      <c r="K168" t="s">
        <v>88</v>
      </c>
      <c r="L168" t="s">
        <v>27</v>
      </c>
      <c r="M168" t="s">
        <v>28</v>
      </c>
      <c r="N168" t="s">
        <v>73</v>
      </c>
      <c r="O168">
        <v>3</v>
      </c>
      <c r="P168">
        <v>25000</v>
      </c>
      <c r="Q168">
        <v>0</v>
      </c>
      <c r="R168">
        <v>75000</v>
      </c>
      <c r="S168">
        <v>19695.669999999998</v>
      </c>
      <c r="T168" t="s">
        <v>81</v>
      </c>
      <c r="U168" t="s">
        <v>31</v>
      </c>
      <c r="V168" t="s">
        <v>52</v>
      </c>
    </row>
    <row r="169" spans="1:22" x14ac:dyDescent="0.35">
      <c r="A169" t="s">
        <v>603</v>
      </c>
      <c r="B169" s="5">
        <v>45550</v>
      </c>
      <c r="C169" s="5" t="str">
        <f t="shared" si="5"/>
        <v>2024</v>
      </c>
      <c r="D169" s="5" t="str">
        <f t="shared" si="4"/>
        <v>September</v>
      </c>
      <c r="E169" t="s">
        <v>587</v>
      </c>
      <c r="F169" t="s">
        <v>418</v>
      </c>
      <c r="G169" t="s">
        <v>23</v>
      </c>
      <c r="H169">
        <v>47</v>
      </c>
      <c r="I169" t="s">
        <v>114</v>
      </c>
      <c r="J169" t="s">
        <v>115</v>
      </c>
      <c r="K169" t="s">
        <v>88</v>
      </c>
      <c r="L169" t="s">
        <v>27</v>
      </c>
      <c r="M169" t="s">
        <v>28</v>
      </c>
      <c r="N169" t="s">
        <v>140</v>
      </c>
      <c r="O169">
        <v>1</v>
      </c>
      <c r="P169">
        <v>65000</v>
      </c>
      <c r="Q169">
        <v>5</v>
      </c>
      <c r="R169">
        <v>61750</v>
      </c>
      <c r="S169">
        <v>10880.23</v>
      </c>
      <c r="T169" t="s">
        <v>41</v>
      </c>
      <c r="U169" t="s">
        <v>51</v>
      </c>
      <c r="V169" t="s">
        <v>117</v>
      </c>
    </row>
    <row r="170" spans="1:22" x14ac:dyDescent="0.35">
      <c r="A170" t="s">
        <v>605</v>
      </c>
      <c r="B170" s="5">
        <v>45664</v>
      </c>
      <c r="C170" s="5" t="str">
        <f t="shared" si="5"/>
        <v>2025</v>
      </c>
      <c r="D170" s="5" t="str">
        <f t="shared" si="4"/>
        <v>January</v>
      </c>
      <c r="E170" t="s">
        <v>606</v>
      </c>
      <c r="F170" t="s">
        <v>305</v>
      </c>
      <c r="G170" t="s">
        <v>37</v>
      </c>
      <c r="H170">
        <v>36</v>
      </c>
      <c r="I170" t="s">
        <v>24</v>
      </c>
      <c r="J170" t="s">
        <v>25</v>
      </c>
      <c r="K170" t="s">
        <v>26</v>
      </c>
      <c r="L170" t="s">
        <v>89</v>
      </c>
      <c r="M170" t="s">
        <v>90</v>
      </c>
      <c r="N170" t="s">
        <v>128</v>
      </c>
      <c r="O170">
        <v>5</v>
      </c>
      <c r="P170">
        <v>7000</v>
      </c>
      <c r="Q170">
        <v>10</v>
      </c>
      <c r="R170">
        <v>31500</v>
      </c>
      <c r="S170">
        <v>2797.38</v>
      </c>
      <c r="T170" t="s">
        <v>30</v>
      </c>
      <c r="U170" t="s">
        <v>51</v>
      </c>
      <c r="V170" t="s">
        <v>117</v>
      </c>
    </row>
    <row r="171" spans="1:22" x14ac:dyDescent="0.35">
      <c r="A171" t="s">
        <v>607</v>
      </c>
      <c r="B171" s="5">
        <v>45351</v>
      </c>
      <c r="C171" s="5" t="str">
        <f t="shared" si="5"/>
        <v>2024</v>
      </c>
      <c r="D171" s="5" t="str">
        <f t="shared" si="4"/>
        <v>February</v>
      </c>
      <c r="E171" t="s">
        <v>539</v>
      </c>
      <c r="F171" t="s">
        <v>424</v>
      </c>
      <c r="G171" t="s">
        <v>23</v>
      </c>
      <c r="H171">
        <v>25</v>
      </c>
      <c r="I171" t="s">
        <v>38</v>
      </c>
      <c r="J171" t="s">
        <v>39</v>
      </c>
      <c r="K171" t="s">
        <v>26</v>
      </c>
      <c r="L171" t="s">
        <v>47</v>
      </c>
      <c r="M171" t="s">
        <v>48</v>
      </c>
      <c r="N171" t="s">
        <v>116</v>
      </c>
      <c r="O171">
        <v>3</v>
      </c>
      <c r="P171">
        <v>120</v>
      </c>
      <c r="Q171">
        <v>20</v>
      </c>
      <c r="R171">
        <v>288</v>
      </c>
      <c r="S171">
        <v>63.66</v>
      </c>
      <c r="T171" t="s">
        <v>59</v>
      </c>
      <c r="U171" t="s">
        <v>92</v>
      </c>
      <c r="V171" t="s">
        <v>117</v>
      </c>
    </row>
    <row r="172" spans="1:22" x14ac:dyDescent="0.35">
      <c r="A172" t="s">
        <v>608</v>
      </c>
      <c r="B172" s="5">
        <v>45411</v>
      </c>
      <c r="C172" s="5" t="str">
        <f t="shared" si="5"/>
        <v>2024</v>
      </c>
      <c r="D172" s="5" t="str">
        <f t="shared" si="4"/>
        <v>April</v>
      </c>
      <c r="E172" t="s">
        <v>609</v>
      </c>
      <c r="F172" t="s">
        <v>421</v>
      </c>
      <c r="G172" t="s">
        <v>23</v>
      </c>
      <c r="H172">
        <v>42</v>
      </c>
      <c r="I172" t="s">
        <v>126</v>
      </c>
      <c r="J172" t="s">
        <v>127</v>
      </c>
      <c r="K172" t="s">
        <v>88</v>
      </c>
      <c r="L172" t="s">
        <v>78</v>
      </c>
      <c r="M172" t="s">
        <v>79</v>
      </c>
      <c r="N172" t="s">
        <v>80</v>
      </c>
      <c r="O172">
        <v>5</v>
      </c>
      <c r="P172">
        <v>1800</v>
      </c>
      <c r="Q172">
        <v>20</v>
      </c>
      <c r="R172">
        <v>7200</v>
      </c>
      <c r="S172">
        <v>1054.08</v>
      </c>
      <c r="T172" t="s">
        <v>81</v>
      </c>
      <c r="U172" t="s">
        <v>51</v>
      </c>
      <c r="V172" t="s">
        <v>65</v>
      </c>
    </row>
    <row r="173" spans="1:22" x14ac:dyDescent="0.35">
      <c r="A173" t="s">
        <v>610</v>
      </c>
      <c r="B173" s="5">
        <v>45506</v>
      </c>
      <c r="C173" s="5" t="str">
        <f t="shared" si="5"/>
        <v>2024</v>
      </c>
      <c r="D173" s="5" t="str">
        <f t="shared" si="4"/>
        <v>August</v>
      </c>
      <c r="E173" t="s">
        <v>76</v>
      </c>
      <c r="F173" t="s">
        <v>201</v>
      </c>
      <c r="G173" t="s">
        <v>37</v>
      </c>
      <c r="H173">
        <v>54</v>
      </c>
      <c r="I173" t="s">
        <v>57</v>
      </c>
      <c r="J173" t="s">
        <v>57</v>
      </c>
      <c r="K173" t="s">
        <v>58</v>
      </c>
      <c r="L173" t="s">
        <v>27</v>
      </c>
      <c r="M173" t="s">
        <v>28</v>
      </c>
      <c r="N173" t="s">
        <v>73</v>
      </c>
      <c r="O173">
        <v>5</v>
      </c>
      <c r="P173">
        <v>25000</v>
      </c>
      <c r="Q173">
        <v>10</v>
      </c>
      <c r="R173">
        <v>112500</v>
      </c>
      <c r="S173">
        <v>20570.150000000001</v>
      </c>
      <c r="T173" t="s">
        <v>81</v>
      </c>
      <c r="U173" t="s">
        <v>51</v>
      </c>
      <c r="V173" t="s">
        <v>117</v>
      </c>
    </row>
    <row r="174" spans="1:22" x14ac:dyDescent="0.35">
      <c r="A174" t="s">
        <v>611</v>
      </c>
      <c r="B174" s="5">
        <v>45671</v>
      </c>
      <c r="C174" s="5" t="str">
        <f t="shared" si="5"/>
        <v>2025</v>
      </c>
      <c r="D174" s="5" t="str">
        <f t="shared" si="4"/>
        <v>January</v>
      </c>
      <c r="E174" t="s">
        <v>376</v>
      </c>
      <c r="F174" t="s">
        <v>613</v>
      </c>
      <c r="G174" t="s">
        <v>23</v>
      </c>
      <c r="H174">
        <v>54</v>
      </c>
      <c r="I174" t="s">
        <v>24</v>
      </c>
      <c r="J174" t="s">
        <v>25</v>
      </c>
      <c r="K174" t="s">
        <v>26</v>
      </c>
      <c r="L174" t="s">
        <v>78</v>
      </c>
      <c r="M174" t="s">
        <v>79</v>
      </c>
      <c r="N174" t="s">
        <v>101</v>
      </c>
      <c r="O174">
        <v>4</v>
      </c>
      <c r="P174">
        <v>3500</v>
      </c>
      <c r="Q174">
        <v>0</v>
      </c>
      <c r="R174">
        <v>14000</v>
      </c>
      <c r="S174">
        <v>1412.99</v>
      </c>
      <c r="T174" t="s">
        <v>30</v>
      </c>
      <c r="U174" t="s">
        <v>51</v>
      </c>
      <c r="V174" t="s">
        <v>117</v>
      </c>
    </row>
    <row r="175" spans="1:22" x14ac:dyDescent="0.35">
      <c r="A175" t="s">
        <v>614</v>
      </c>
      <c r="B175" s="5">
        <v>45795</v>
      </c>
      <c r="C175" s="5" t="str">
        <f t="shared" si="5"/>
        <v>2025</v>
      </c>
      <c r="D175" s="5" t="str">
        <f t="shared" si="4"/>
        <v>May</v>
      </c>
      <c r="E175" t="s">
        <v>21</v>
      </c>
      <c r="F175" t="s">
        <v>241</v>
      </c>
      <c r="G175" t="s">
        <v>23</v>
      </c>
      <c r="H175">
        <v>53</v>
      </c>
      <c r="I175" t="s">
        <v>114</v>
      </c>
      <c r="J175" t="s">
        <v>115</v>
      </c>
      <c r="K175" t="s">
        <v>88</v>
      </c>
      <c r="L175" t="s">
        <v>78</v>
      </c>
      <c r="M175" t="s">
        <v>79</v>
      </c>
      <c r="N175" t="s">
        <v>156</v>
      </c>
      <c r="O175">
        <v>4</v>
      </c>
      <c r="P175">
        <v>800</v>
      </c>
      <c r="Q175">
        <v>0</v>
      </c>
      <c r="R175">
        <v>3200</v>
      </c>
      <c r="S175">
        <v>853.58</v>
      </c>
      <c r="T175" t="s">
        <v>50</v>
      </c>
      <c r="U175" t="s">
        <v>51</v>
      </c>
      <c r="V175" t="s">
        <v>52</v>
      </c>
    </row>
    <row r="176" spans="1:22" x14ac:dyDescent="0.35">
      <c r="A176" t="s">
        <v>616</v>
      </c>
      <c r="B176" s="5">
        <v>45810</v>
      </c>
      <c r="C176" s="5" t="str">
        <f t="shared" si="5"/>
        <v>2025</v>
      </c>
      <c r="D176" s="5" t="str">
        <f t="shared" si="4"/>
        <v>June</v>
      </c>
      <c r="E176" t="s">
        <v>225</v>
      </c>
      <c r="F176" t="s">
        <v>113</v>
      </c>
      <c r="G176" t="s">
        <v>37</v>
      </c>
      <c r="H176">
        <v>41</v>
      </c>
      <c r="I176" t="s">
        <v>114</v>
      </c>
      <c r="J176" t="s">
        <v>115</v>
      </c>
      <c r="K176" t="s">
        <v>88</v>
      </c>
      <c r="L176" t="s">
        <v>27</v>
      </c>
      <c r="M176" t="s">
        <v>28</v>
      </c>
      <c r="N176" t="s">
        <v>140</v>
      </c>
      <c r="O176">
        <v>4</v>
      </c>
      <c r="P176">
        <v>65000</v>
      </c>
      <c r="Q176">
        <v>20</v>
      </c>
      <c r="R176">
        <v>208000</v>
      </c>
      <c r="S176">
        <v>39059.279999999999</v>
      </c>
      <c r="T176" t="s">
        <v>50</v>
      </c>
      <c r="U176" t="s">
        <v>92</v>
      </c>
      <c r="V176" t="s">
        <v>60</v>
      </c>
    </row>
    <row r="177" spans="1:22" x14ac:dyDescent="0.35">
      <c r="A177" t="s">
        <v>618</v>
      </c>
      <c r="B177" s="5">
        <v>45652</v>
      </c>
      <c r="C177" s="5" t="str">
        <f t="shared" si="5"/>
        <v>2024</v>
      </c>
      <c r="D177" s="5" t="str">
        <f t="shared" si="4"/>
        <v>December</v>
      </c>
      <c r="E177" t="s">
        <v>620</v>
      </c>
      <c r="F177" t="s">
        <v>321</v>
      </c>
      <c r="G177" t="s">
        <v>37</v>
      </c>
      <c r="H177">
        <v>53</v>
      </c>
      <c r="I177" t="s">
        <v>57</v>
      </c>
      <c r="J177" t="s">
        <v>57</v>
      </c>
      <c r="K177" t="s">
        <v>58</v>
      </c>
      <c r="L177" t="s">
        <v>78</v>
      </c>
      <c r="M177" t="s">
        <v>79</v>
      </c>
      <c r="N177" t="s">
        <v>101</v>
      </c>
      <c r="O177">
        <v>4</v>
      </c>
      <c r="P177">
        <v>3500</v>
      </c>
      <c r="Q177">
        <v>20</v>
      </c>
      <c r="R177">
        <v>11200</v>
      </c>
      <c r="S177">
        <v>1256.81</v>
      </c>
      <c r="T177" t="s">
        <v>50</v>
      </c>
      <c r="U177" t="s">
        <v>92</v>
      </c>
      <c r="V177" t="s">
        <v>52</v>
      </c>
    </row>
    <row r="178" spans="1:22" x14ac:dyDescent="0.35">
      <c r="A178" t="s">
        <v>621</v>
      </c>
      <c r="B178" s="5">
        <v>45475</v>
      </c>
      <c r="C178" s="5" t="str">
        <f t="shared" si="5"/>
        <v>2024</v>
      </c>
      <c r="D178" s="5" t="str">
        <f t="shared" si="4"/>
        <v>July</v>
      </c>
      <c r="E178" t="s">
        <v>623</v>
      </c>
      <c r="F178" t="s">
        <v>328</v>
      </c>
      <c r="G178" t="s">
        <v>37</v>
      </c>
      <c r="H178">
        <v>40</v>
      </c>
      <c r="I178" t="s">
        <v>38</v>
      </c>
      <c r="J178" t="s">
        <v>39</v>
      </c>
      <c r="K178" t="s">
        <v>26</v>
      </c>
      <c r="L178" t="s">
        <v>78</v>
      </c>
      <c r="M178" t="s">
        <v>79</v>
      </c>
      <c r="N178" t="s">
        <v>80</v>
      </c>
      <c r="O178">
        <v>3</v>
      </c>
      <c r="P178">
        <v>1800</v>
      </c>
      <c r="Q178">
        <v>5</v>
      </c>
      <c r="R178">
        <v>5130</v>
      </c>
      <c r="S178">
        <v>1388.72</v>
      </c>
      <c r="T178" t="s">
        <v>30</v>
      </c>
      <c r="U178" t="s">
        <v>51</v>
      </c>
      <c r="V178" t="s">
        <v>32</v>
      </c>
    </row>
    <row r="179" spans="1:22" x14ac:dyDescent="0.35">
      <c r="A179" t="s">
        <v>624</v>
      </c>
      <c r="B179" s="5">
        <v>45445</v>
      </c>
      <c r="C179" s="5" t="str">
        <f t="shared" si="5"/>
        <v>2024</v>
      </c>
      <c r="D179" s="5" t="str">
        <f t="shared" si="4"/>
        <v>June</v>
      </c>
      <c r="E179" t="s">
        <v>159</v>
      </c>
      <c r="F179" t="s">
        <v>253</v>
      </c>
      <c r="G179" t="s">
        <v>37</v>
      </c>
      <c r="H179">
        <v>25</v>
      </c>
      <c r="I179" t="s">
        <v>114</v>
      </c>
      <c r="J179" t="s">
        <v>115</v>
      </c>
      <c r="K179" t="s">
        <v>88</v>
      </c>
      <c r="L179" t="s">
        <v>78</v>
      </c>
      <c r="M179" t="s">
        <v>79</v>
      </c>
      <c r="N179" t="s">
        <v>80</v>
      </c>
      <c r="O179">
        <v>5</v>
      </c>
      <c r="P179">
        <v>1800</v>
      </c>
      <c r="Q179">
        <v>5</v>
      </c>
      <c r="R179">
        <v>8550</v>
      </c>
      <c r="S179">
        <v>1261.95</v>
      </c>
      <c r="T179" t="s">
        <v>50</v>
      </c>
      <c r="U179" t="s">
        <v>31</v>
      </c>
      <c r="V179" t="s">
        <v>32</v>
      </c>
    </row>
    <row r="180" spans="1:22" x14ac:dyDescent="0.35">
      <c r="A180" t="s">
        <v>626</v>
      </c>
      <c r="B180" s="5">
        <v>45828</v>
      </c>
      <c r="C180" s="5" t="str">
        <f t="shared" si="5"/>
        <v>2025</v>
      </c>
      <c r="D180" s="5" t="str">
        <f t="shared" si="4"/>
        <v>June</v>
      </c>
      <c r="E180" t="s">
        <v>628</v>
      </c>
      <c r="F180" t="s">
        <v>151</v>
      </c>
      <c r="G180" t="s">
        <v>23</v>
      </c>
      <c r="H180">
        <v>47</v>
      </c>
      <c r="I180" t="s">
        <v>126</v>
      </c>
      <c r="J180" t="s">
        <v>127</v>
      </c>
      <c r="K180" t="s">
        <v>88</v>
      </c>
      <c r="L180" t="s">
        <v>47</v>
      </c>
      <c r="M180" t="s">
        <v>48</v>
      </c>
      <c r="N180" t="s">
        <v>49</v>
      </c>
      <c r="O180">
        <v>5</v>
      </c>
      <c r="P180">
        <v>150</v>
      </c>
      <c r="Q180">
        <v>5</v>
      </c>
      <c r="R180">
        <v>712.5</v>
      </c>
      <c r="S180">
        <v>196.28</v>
      </c>
      <c r="T180" t="s">
        <v>50</v>
      </c>
      <c r="U180" t="s">
        <v>51</v>
      </c>
      <c r="V180" t="s">
        <v>32</v>
      </c>
    </row>
    <row r="181" spans="1:22" x14ac:dyDescent="0.35">
      <c r="A181" t="s">
        <v>629</v>
      </c>
      <c r="B181" s="5">
        <v>45732</v>
      </c>
      <c r="C181" s="5" t="str">
        <f t="shared" si="5"/>
        <v>2025</v>
      </c>
      <c r="D181" s="5" t="str">
        <f t="shared" si="4"/>
        <v>March</v>
      </c>
      <c r="E181" t="s">
        <v>631</v>
      </c>
      <c r="F181" t="s">
        <v>437</v>
      </c>
      <c r="G181" t="s">
        <v>37</v>
      </c>
      <c r="H181">
        <v>20</v>
      </c>
      <c r="I181" t="s">
        <v>98</v>
      </c>
      <c r="J181" t="s">
        <v>99</v>
      </c>
      <c r="K181" t="s">
        <v>100</v>
      </c>
      <c r="L181" t="s">
        <v>89</v>
      </c>
      <c r="M181" t="s">
        <v>90</v>
      </c>
      <c r="N181" t="s">
        <v>128</v>
      </c>
      <c r="O181">
        <v>5</v>
      </c>
      <c r="P181">
        <v>7000</v>
      </c>
      <c r="Q181">
        <v>5</v>
      </c>
      <c r="R181">
        <v>33250</v>
      </c>
      <c r="S181">
        <v>4021.96</v>
      </c>
      <c r="T181" t="s">
        <v>50</v>
      </c>
      <c r="U181" t="s">
        <v>51</v>
      </c>
      <c r="V181" t="s">
        <v>60</v>
      </c>
    </row>
    <row r="182" spans="1:22" x14ac:dyDescent="0.35">
      <c r="A182" t="s">
        <v>632</v>
      </c>
      <c r="B182" s="5">
        <v>45371</v>
      </c>
      <c r="C182" s="5" t="str">
        <f t="shared" si="5"/>
        <v>2024</v>
      </c>
      <c r="D182" s="5" t="str">
        <f t="shared" si="4"/>
        <v>March</v>
      </c>
      <c r="E182" t="s">
        <v>312</v>
      </c>
      <c r="F182" t="s">
        <v>633</v>
      </c>
      <c r="G182" t="s">
        <v>23</v>
      </c>
      <c r="H182">
        <v>24</v>
      </c>
      <c r="I182" t="s">
        <v>38</v>
      </c>
      <c r="J182" t="s">
        <v>39</v>
      </c>
      <c r="K182" t="s">
        <v>26</v>
      </c>
      <c r="L182" t="s">
        <v>89</v>
      </c>
      <c r="M182" t="s">
        <v>90</v>
      </c>
      <c r="N182" t="s">
        <v>128</v>
      </c>
      <c r="O182">
        <v>4</v>
      </c>
      <c r="P182">
        <v>7000</v>
      </c>
      <c r="Q182">
        <v>5</v>
      </c>
      <c r="R182">
        <v>26600</v>
      </c>
      <c r="S182">
        <v>4432.96</v>
      </c>
      <c r="T182" t="s">
        <v>59</v>
      </c>
      <c r="U182" t="s">
        <v>31</v>
      </c>
      <c r="V182" t="s">
        <v>65</v>
      </c>
    </row>
    <row r="183" spans="1:22" x14ac:dyDescent="0.35">
      <c r="A183" t="s">
        <v>634</v>
      </c>
      <c r="B183" s="5">
        <v>45748</v>
      </c>
      <c r="C183" s="5" t="str">
        <f t="shared" si="5"/>
        <v>2025</v>
      </c>
      <c r="D183" s="5" t="str">
        <f t="shared" si="4"/>
        <v>April</v>
      </c>
      <c r="E183" t="s">
        <v>347</v>
      </c>
      <c r="F183" t="s">
        <v>348</v>
      </c>
      <c r="G183" t="s">
        <v>23</v>
      </c>
      <c r="H183">
        <v>24</v>
      </c>
      <c r="I183" t="s">
        <v>126</v>
      </c>
      <c r="J183" t="s">
        <v>127</v>
      </c>
      <c r="K183" t="s">
        <v>88</v>
      </c>
      <c r="L183" t="s">
        <v>27</v>
      </c>
      <c r="M183" t="s">
        <v>28</v>
      </c>
      <c r="N183" t="s">
        <v>140</v>
      </c>
      <c r="O183">
        <v>1</v>
      </c>
      <c r="P183">
        <v>65000</v>
      </c>
      <c r="Q183">
        <v>5</v>
      </c>
      <c r="R183">
        <v>61750</v>
      </c>
      <c r="S183">
        <v>16413.830000000002</v>
      </c>
      <c r="T183" t="s">
        <v>30</v>
      </c>
      <c r="U183" t="s">
        <v>31</v>
      </c>
      <c r="V183" t="s">
        <v>32</v>
      </c>
    </row>
    <row r="184" spans="1:22" x14ac:dyDescent="0.35">
      <c r="A184" t="s">
        <v>635</v>
      </c>
      <c r="B184" s="5">
        <v>45391</v>
      </c>
      <c r="C184" s="5" t="str">
        <f t="shared" si="5"/>
        <v>2024</v>
      </c>
      <c r="D184" s="5" t="str">
        <f t="shared" si="4"/>
        <v>April</v>
      </c>
      <c r="E184" t="s">
        <v>131</v>
      </c>
      <c r="F184" t="s">
        <v>613</v>
      </c>
      <c r="G184" t="s">
        <v>37</v>
      </c>
      <c r="H184">
        <v>35</v>
      </c>
      <c r="I184" t="s">
        <v>126</v>
      </c>
      <c r="J184" t="s">
        <v>127</v>
      </c>
      <c r="K184" t="s">
        <v>88</v>
      </c>
      <c r="L184" t="s">
        <v>27</v>
      </c>
      <c r="M184" t="s">
        <v>28</v>
      </c>
      <c r="N184" t="s">
        <v>40</v>
      </c>
      <c r="O184">
        <v>5</v>
      </c>
      <c r="P184">
        <v>2500</v>
      </c>
      <c r="Q184">
        <v>15</v>
      </c>
      <c r="R184">
        <v>10625</v>
      </c>
      <c r="S184">
        <v>2904.97</v>
      </c>
      <c r="T184" t="s">
        <v>41</v>
      </c>
      <c r="U184" t="s">
        <v>51</v>
      </c>
      <c r="V184" t="s">
        <v>93</v>
      </c>
    </row>
    <row r="185" spans="1:22" x14ac:dyDescent="0.35">
      <c r="A185" t="s">
        <v>636</v>
      </c>
      <c r="B185" s="5">
        <v>45601</v>
      </c>
      <c r="C185" s="5" t="str">
        <f t="shared" si="5"/>
        <v>2024</v>
      </c>
      <c r="D185" s="5" t="str">
        <f t="shared" si="4"/>
        <v>November</v>
      </c>
      <c r="E185" t="s">
        <v>534</v>
      </c>
      <c r="F185" t="s">
        <v>637</v>
      </c>
      <c r="G185" t="s">
        <v>23</v>
      </c>
      <c r="H185">
        <v>46</v>
      </c>
      <c r="I185" t="s">
        <v>114</v>
      </c>
      <c r="J185" t="s">
        <v>115</v>
      </c>
      <c r="K185" t="s">
        <v>88</v>
      </c>
      <c r="L185" t="s">
        <v>47</v>
      </c>
      <c r="M185" t="s">
        <v>48</v>
      </c>
      <c r="N185" t="s">
        <v>215</v>
      </c>
      <c r="O185">
        <v>2</v>
      </c>
      <c r="P185">
        <v>450</v>
      </c>
      <c r="Q185">
        <v>20</v>
      </c>
      <c r="R185">
        <v>720</v>
      </c>
      <c r="S185">
        <v>169.82</v>
      </c>
      <c r="T185" t="s">
        <v>81</v>
      </c>
      <c r="U185" t="s">
        <v>92</v>
      </c>
      <c r="V185" t="s">
        <v>93</v>
      </c>
    </row>
    <row r="186" spans="1:22" x14ac:dyDescent="0.35">
      <c r="A186" t="s">
        <v>638</v>
      </c>
      <c r="B186" s="5">
        <v>45332</v>
      </c>
      <c r="C186" s="5" t="str">
        <f t="shared" si="5"/>
        <v>2024</v>
      </c>
      <c r="D186" s="5" t="str">
        <f t="shared" si="4"/>
        <v>February</v>
      </c>
      <c r="E186" t="s">
        <v>112</v>
      </c>
      <c r="F186" t="s">
        <v>639</v>
      </c>
      <c r="G186" t="s">
        <v>23</v>
      </c>
      <c r="H186">
        <v>28</v>
      </c>
      <c r="I186" t="s">
        <v>57</v>
      </c>
      <c r="J186" t="s">
        <v>57</v>
      </c>
      <c r="K186" t="s">
        <v>58</v>
      </c>
      <c r="L186" t="s">
        <v>78</v>
      </c>
      <c r="M186" t="s">
        <v>79</v>
      </c>
      <c r="N186" t="s">
        <v>156</v>
      </c>
      <c r="O186">
        <v>3</v>
      </c>
      <c r="P186">
        <v>800</v>
      </c>
      <c r="Q186">
        <v>15</v>
      </c>
      <c r="R186">
        <v>2040</v>
      </c>
      <c r="S186">
        <v>463.45</v>
      </c>
      <c r="T186" t="s">
        <v>30</v>
      </c>
      <c r="U186" t="s">
        <v>51</v>
      </c>
      <c r="V186" t="s">
        <v>117</v>
      </c>
    </row>
    <row r="187" spans="1:22" x14ac:dyDescent="0.35">
      <c r="A187" t="s">
        <v>640</v>
      </c>
      <c r="B187" s="5">
        <v>45792</v>
      </c>
      <c r="C187" s="5" t="str">
        <f t="shared" si="5"/>
        <v>2025</v>
      </c>
      <c r="D187" s="5" t="str">
        <f t="shared" si="4"/>
        <v>May</v>
      </c>
      <c r="E187" t="s">
        <v>218</v>
      </c>
      <c r="F187" t="s">
        <v>477</v>
      </c>
      <c r="G187" t="s">
        <v>23</v>
      </c>
      <c r="H187">
        <v>56</v>
      </c>
      <c r="I187" t="s">
        <v>126</v>
      </c>
      <c r="J187" t="s">
        <v>127</v>
      </c>
      <c r="K187" t="s">
        <v>88</v>
      </c>
      <c r="L187" t="s">
        <v>89</v>
      </c>
      <c r="M187" t="s">
        <v>90</v>
      </c>
      <c r="N187" t="s">
        <v>242</v>
      </c>
      <c r="O187">
        <v>1</v>
      </c>
      <c r="P187">
        <v>6000</v>
      </c>
      <c r="Q187">
        <v>15</v>
      </c>
      <c r="R187">
        <v>5100</v>
      </c>
      <c r="S187">
        <v>465.66</v>
      </c>
      <c r="T187" t="s">
        <v>30</v>
      </c>
      <c r="U187" t="s">
        <v>51</v>
      </c>
      <c r="V187" t="s">
        <v>93</v>
      </c>
    </row>
    <row r="188" spans="1:22" x14ac:dyDescent="0.35">
      <c r="A188" t="s">
        <v>642</v>
      </c>
      <c r="B188" s="5">
        <v>45681</v>
      </c>
      <c r="C188" s="5" t="str">
        <f t="shared" si="5"/>
        <v>2025</v>
      </c>
      <c r="D188" s="5" t="str">
        <f t="shared" si="4"/>
        <v>January</v>
      </c>
      <c r="E188" t="s">
        <v>351</v>
      </c>
      <c r="F188" t="s">
        <v>643</v>
      </c>
      <c r="G188" t="s">
        <v>37</v>
      </c>
      <c r="H188">
        <v>41</v>
      </c>
      <c r="I188" t="s">
        <v>24</v>
      </c>
      <c r="J188" t="s">
        <v>25</v>
      </c>
      <c r="K188" t="s">
        <v>26</v>
      </c>
      <c r="L188" t="s">
        <v>47</v>
      </c>
      <c r="M188" t="s">
        <v>48</v>
      </c>
      <c r="N188" t="s">
        <v>49</v>
      </c>
      <c r="O188">
        <v>1</v>
      </c>
      <c r="P188">
        <v>150</v>
      </c>
      <c r="Q188">
        <v>0</v>
      </c>
      <c r="R188">
        <v>150</v>
      </c>
      <c r="S188">
        <v>34.409999999999997</v>
      </c>
      <c r="T188" t="s">
        <v>50</v>
      </c>
      <c r="U188" t="s">
        <v>51</v>
      </c>
      <c r="V188" t="s">
        <v>52</v>
      </c>
    </row>
    <row r="189" spans="1:22" x14ac:dyDescent="0.35">
      <c r="A189" t="s">
        <v>644</v>
      </c>
      <c r="B189" s="5">
        <v>45597</v>
      </c>
      <c r="C189" s="5" t="str">
        <f t="shared" si="5"/>
        <v>2024</v>
      </c>
      <c r="D189" s="5" t="str">
        <f t="shared" si="4"/>
        <v>November</v>
      </c>
      <c r="E189" t="s">
        <v>301</v>
      </c>
      <c r="F189" t="s">
        <v>267</v>
      </c>
      <c r="G189" t="s">
        <v>23</v>
      </c>
      <c r="H189">
        <v>28</v>
      </c>
      <c r="I189" t="s">
        <v>38</v>
      </c>
      <c r="J189" t="s">
        <v>39</v>
      </c>
      <c r="K189" t="s">
        <v>26</v>
      </c>
      <c r="L189" t="s">
        <v>47</v>
      </c>
      <c r="M189" t="s">
        <v>48</v>
      </c>
      <c r="N189" t="s">
        <v>215</v>
      </c>
      <c r="O189">
        <v>5</v>
      </c>
      <c r="P189">
        <v>450</v>
      </c>
      <c r="Q189">
        <v>0</v>
      </c>
      <c r="R189">
        <v>2250</v>
      </c>
      <c r="S189">
        <v>628.25</v>
      </c>
      <c r="T189" t="s">
        <v>41</v>
      </c>
      <c r="U189" t="s">
        <v>51</v>
      </c>
      <c r="V189" t="s">
        <v>93</v>
      </c>
    </row>
    <row r="190" spans="1:22" x14ac:dyDescent="0.35">
      <c r="A190" t="s">
        <v>645</v>
      </c>
      <c r="B190" s="5">
        <v>45826</v>
      </c>
      <c r="C190" s="5" t="str">
        <f t="shared" si="5"/>
        <v>2025</v>
      </c>
      <c r="D190" s="5" t="str">
        <f t="shared" si="4"/>
        <v>June</v>
      </c>
      <c r="E190" t="s">
        <v>646</v>
      </c>
      <c r="F190" t="s">
        <v>647</v>
      </c>
      <c r="G190" t="s">
        <v>37</v>
      </c>
      <c r="H190">
        <v>24</v>
      </c>
      <c r="I190" t="s">
        <v>86</v>
      </c>
      <c r="J190" t="s">
        <v>87</v>
      </c>
      <c r="K190" t="s">
        <v>88</v>
      </c>
      <c r="L190" t="s">
        <v>89</v>
      </c>
      <c r="M190" t="s">
        <v>90</v>
      </c>
      <c r="N190" t="s">
        <v>91</v>
      </c>
      <c r="O190">
        <v>3</v>
      </c>
      <c r="P190">
        <v>9000</v>
      </c>
      <c r="Q190">
        <v>10</v>
      </c>
      <c r="R190">
        <v>24300</v>
      </c>
      <c r="S190">
        <v>6587.56</v>
      </c>
      <c r="T190" t="s">
        <v>59</v>
      </c>
      <c r="U190" t="s">
        <v>31</v>
      </c>
      <c r="V190" t="s">
        <v>60</v>
      </c>
    </row>
    <row r="191" spans="1:22" x14ac:dyDescent="0.35">
      <c r="A191" t="s">
        <v>648</v>
      </c>
      <c r="B191" s="5">
        <v>45723</v>
      </c>
      <c r="C191" s="5" t="str">
        <f t="shared" si="5"/>
        <v>2025</v>
      </c>
      <c r="D191" s="5" t="str">
        <f t="shared" si="4"/>
        <v>March</v>
      </c>
      <c r="E191" t="s">
        <v>139</v>
      </c>
      <c r="F191" t="s">
        <v>650</v>
      </c>
      <c r="G191" t="s">
        <v>23</v>
      </c>
      <c r="H191">
        <v>49</v>
      </c>
      <c r="I191" t="s">
        <v>114</v>
      </c>
      <c r="J191" t="s">
        <v>115</v>
      </c>
      <c r="K191" t="s">
        <v>88</v>
      </c>
      <c r="L191" t="s">
        <v>89</v>
      </c>
      <c r="M191" t="s">
        <v>90</v>
      </c>
      <c r="N191" t="s">
        <v>91</v>
      </c>
      <c r="O191">
        <v>5</v>
      </c>
      <c r="P191">
        <v>9000</v>
      </c>
      <c r="Q191">
        <v>0</v>
      </c>
      <c r="R191">
        <v>45000</v>
      </c>
      <c r="S191">
        <v>6715.03</v>
      </c>
      <c r="T191" t="s">
        <v>41</v>
      </c>
      <c r="U191" t="s">
        <v>51</v>
      </c>
      <c r="V191" t="s">
        <v>117</v>
      </c>
    </row>
    <row r="192" spans="1:22" x14ac:dyDescent="0.35">
      <c r="A192" t="s">
        <v>651</v>
      </c>
      <c r="B192" s="5">
        <v>45356</v>
      </c>
      <c r="C192" s="5" t="str">
        <f t="shared" si="5"/>
        <v>2024</v>
      </c>
      <c r="D192" s="5" t="str">
        <f t="shared" si="4"/>
        <v>March</v>
      </c>
      <c r="E192" t="s">
        <v>653</v>
      </c>
      <c r="F192" t="s">
        <v>654</v>
      </c>
      <c r="G192" t="s">
        <v>37</v>
      </c>
      <c r="H192">
        <v>39</v>
      </c>
      <c r="I192" t="s">
        <v>126</v>
      </c>
      <c r="J192" t="s">
        <v>127</v>
      </c>
      <c r="K192" t="s">
        <v>88</v>
      </c>
      <c r="L192" t="s">
        <v>78</v>
      </c>
      <c r="M192" t="s">
        <v>79</v>
      </c>
      <c r="N192" t="s">
        <v>80</v>
      </c>
      <c r="O192">
        <v>5</v>
      </c>
      <c r="P192">
        <v>1800</v>
      </c>
      <c r="Q192">
        <v>10</v>
      </c>
      <c r="R192">
        <v>8100</v>
      </c>
      <c r="S192">
        <v>1174.3699999999999</v>
      </c>
      <c r="T192" t="s">
        <v>50</v>
      </c>
      <c r="U192" t="s">
        <v>92</v>
      </c>
      <c r="V192" t="s">
        <v>65</v>
      </c>
    </row>
    <row r="193" spans="1:22" x14ac:dyDescent="0.35">
      <c r="A193" t="s">
        <v>655</v>
      </c>
      <c r="B193" s="5">
        <v>45359</v>
      </c>
      <c r="C193" s="5" t="str">
        <f t="shared" si="5"/>
        <v>2024</v>
      </c>
      <c r="D193" s="5" t="str">
        <f t="shared" si="4"/>
        <v>March</v>
      </c>
      <c r="E193" t="s">
        <v>218</v>
      </c>
      <c r="F193" t="s">
        <v>354</v>
      </c>
      <c r="G193" t="s">
        <v>23</v>
      </c>
      <c r="H193">
        <v>42</v>
      </c>
      <c r="I193" t="s">
        <v>114</v>
      </c>
      <c r="J193" t="s">
        <v>115</v>
      </c>
      <c r="K193" t="s">
        <v>88</v>
      </c>
      <c r="L193" t="s">
        <v>78</v>
      </c>
      <c r="M193" t="s">
        <v>79</v>
      </c>
      <c r="N193" t="s">
        <v>156</v>
      </c>
      <c r="O193">
        <v>3</v>
      </c>
      <c r="P193">
        <v>800</v>
      </c>
      <c r="Q193">
        <v>5</v>
      </c>
      <c r="R193">
        <v>2280</v>
      </c>
      <c r="S193">
        <v>489.53</v>
      </c>
      <c r="T193" t="s">
        <v>59</v>
      </c>
      <c r="U193" t="s">
        <v>92</v>
      </c>
      <c r="V193" t="s">
        <v>60</v>
      </c>
    </row>
    <row r="194" spans="1:22" x14ac:dyDescent="0.35">
      <c r="A194" t="s">
        <v>657</v>
      </c>
      <c r="B194" s="5">
        <v>45641</v>
      </c>
      <c r="C194" s="5" t="str">
        <f t="shared" si="5"/>
        <v>2024</v>
      </c>
      <c r="D194" s="5" t="str">
        <f t="shared" ref="D194:D257" si="6">TEXT(B194,"mmmm")</f>
        <v>December</v>
      </c>
      <c r="E194" t="s">
        <v>659</v>
      </c>
      <c r="F194" t="s">
        <v>660</v>
      </c>
      <c r="G194" t="s">
        <v>37</v>
      </c>
      <c r="H194">
        <v>31</v>
      </c>
      <c r="I194" t="s">
        <v>98</v>
      </c>
      <c r="J194" t="s">
        <v>99</v>
      </c>
      <c r="K194" t="s">
        <v>100</v>
      </c>
      <c r="L194" t="s">
        <v>27</v>
      </c>
      <c r="M194" t="s">
        <v>28</v>
      </c>
      <c r="N194" t="s">
        <v>40</v>
      </c>
      <c r="O194">
        <v>5</v>
      </c>
      <c r="P194">
        <v>2500</v>
      </c>
      <c r="Q194">
        <v>10</v>
      </c>
      <c r="R194">
        <v>11250</v>
      </c>
      <c r="S194">
        <v>2583.17</v>
      </c>
      <c r="T194" t="s">
        <v>59</v>
      </c>
      <c r="U194" t="s">
        <v>31</v>
      </c>
      <c r="V194" t="s">
        <v>60</v>
      </c>
    </row>
    <row r="195" spans="1:22" x14ac:dyDescent="0.35">
      <c r="A195" t="s">
        <v>661</v>
      </c>
      <c r="B195" s="5">
        <v>45612</v>
      </c>
      <c r="C195" s="5" t="str">
        <f t="shared" ref="C195:C258" si="7">TEXT(B195,"YYYY")</f>
        <v>2024</v>
      </c>
      <c r="D195" s="5" t="str">
        <f t="shared" si="6"/>
        <v>November</v>
      </c>
      <c r="E195" t="s">
        <v>55</v>
      </c>
      <c r="F195" t="s">
        <v>663</v>
      </c>
      <c r="G195" t="s">
        <v>37</v>
      </c>
      <c r="H195">
        <v>48</v>
      </c>
      <c r="I195" t="s">
        <v>114</v>
      </c>
      <c r="J195" t="s">
        <v>115</v>
      </c>
      <c r="K195" t="s">
        <v>88</v>
      </c>
      <c r="L195" t="s">
        <v>47</v>
      </c>
      <c r="M195" t="s">
        <v>48</v>
      </c>
      <c r="N195" t="s">
        <v>215</v>
      </c>
      <c r="O195">
        <v>2</v>
      </c>
      <c r="P195">
        <v>450</v>
      </c>
      <c r="Q195">
        <v>5</v>
      </c>
      <c r="R195">
        <v>855</v>
      </c>
      <c r="S195">
        <v>178.3</v>
      </c>
      <c r="T195" t="s">
        <v>30</v>
      </c>
      <c r="U195" t="s">
        <v>51</v>
      </c>
      <c r="V195" t="s">
        <v>117</v>
      </c>
    </row>
    <row r="196" spans="1:22" x14ac:dyDescent="0.35">
      <c r="A196" t="s">
        <v>664</v>
      </c>
      <c r="B196" s="5">
        <v>45362</v>
      </c>
      <c r="C196" s="5" t="str">
        <f t="shared" si="7"/>
        <v>2024</v>
      </c>
      <c r="D196" s="5" t="str">
        <f t="shared" si="6"/>
        <v>March</v>
      </c>
      <c r="E196" t="s">
        <v>623</v>
      </c>
      <c r="F196" t="s">
        <v>584</v>
      </c>
      <c r="G196" t="s">
        <v>37</v>
      </c>
      <c r="H196">
        <v>22</v>
      </c>
      <c r="I196" t="s">
        <v>24</v>
      </c>
      <c r="J196" t="s">
        <v>25</v>
      </c>
      <c r="K196" t="s">
        <v>26</v>
      </c>
      <c r="L196" t="s">
        <v>27</v>
      </c>
      <c r="M196" t="s">
        <v>28</v>
      </c>
      <c r="N196" t="s">
        <v>40</v>
      </c>
      <c r="O196">
        <v>1</v>
      </c>
      <c r="P196">
        <v>2500</v>
      </c>
      <c r="Q196">
        <v>5</v>
      </c>
      <c r="R196">
        <v>2375</v>
      </c>
      <c r="S196">
        <v>355.69</v>
      </c>
      <c r="T196" t="s">
        <v>50</v>
      </c>
      <c r="U196" t="s">
        <v>31</v>
      </c>
      <c r="V196" t="s">
        <v>93</v>
      </c>
    </row>
    <row r="197" spans="1:22" x14ac:dyDescent="0.35">
      <c r="A197" t="s">
        <v>666</v>
      </c>
      <c r="B197" s="5">
        <v>45633</v>
      </c>
      <c r="C197" s="5" t="str">
        <f t="shared" si="7"/>
        <v>2024</v>
      </c>
      <c r="D197" s="5" t="str">
        <f t="shared" si="6"/>
        <v>December</v>
      </c>
      <c r="E197" t="s">
        <v>252</v>
      </c>
      <c r="F197" t="s">
        <v>201</v>
      </c>
      <c r="G197" t="s">
        <v>23</v>
      </c>
      <c r="H197">
        <v>48</v>
      </c>
      <c r="I197" t="s">
        <v>86</v>
      </c>
      <c r="J197" t="s">
        <v>87</v>
      </c>
      <c r="K197" t="s">
        <v>88</v>
      </c>
      <c r="L197" t="s">
        <v>78</v>
      </c>
      <c r="M197" t="s">
        <v>79</v>
      </c>
      <c r="N197" t="s">
        <v>80</v>
      </c>
      <c r="O197">
        <v>2</v>
      </c>
      <c r="P197">
        <v>1800</v>
      </c>
      <c r="Q197">
        <v>10</v>
      </c>
      <c r="R197">
        <v>3240</v>
      </c>
      <c r="S197">
        <v>834.87</v>
      </c>
      <c r="T197" t="s">
        <v>81</v>
      </c>
      <c r="U197" t="s">
        <v>51</v>
      </c>
      <c r="V197" t="s">
        <v>52</v>
      </c>
    </row>
    <row r="198" spans="1:22" x14ac:dyDescent="0.35">
      <c r="A198" t="s">
        <v>668</v>
      </c>
      <c r="B198" s="5">
        <v>45567</v>
      </c>
      <c r="C198" s="5" t="str">
        <f t="shared" si="7"/>
        <v>2024</v>
      </c>
      <c r="D198" s="5" t="str">
        <f t="shared" si="6"/>
        <v>October</v>
      </c>
      <c r="E198" t="s">
        <v>252</v>
      </c>
      <c r="F198" t="s">
        <v>670</v>
      </c>
      <c r="G198" t="s">
        <v>37</v>
      </c>
      <c r="H198">
        <v>45</v>
      </c>
      <c r="I198" t="s">
        <v>57</v>
      </c>
      <c r="J198" t="s">
        <v>57</v>
      </c>
      <c r="K198" t="s">
        <v>58</v>
      </c>
      <c r="L198" t="s">
        <v>27</v>
      </c>
      <c r="M198" t="s">
        <v>28</v>
      </c>
      <c r="N198" t="s">
        <v>73</v>
      </c>
      <c r="O198">
        <v>2</v>
      </c>
      <c r="P198">
        <v>25000</v>
      </c>
      <c r="Q198">
        <v>15</v>
      </c>
      <c r="R198">
        <v>42500</v>
      </c>
      <c r="S198">
        <v>5145.22</v>
      </c>
      <c r="T198" t="s">
        <v>59</v>
      </c>
      <c r="U198" t="s">
        <v>51</v>
      </c>
      <c r="V198" t="s">
        <v>117</v>
      </c>
    </row>
    <row r="199" spans="1:22" x14ac:dyDescent="0.35">
      <c r="A199" t="s">
        <v>671</v>
      </c>
      <c r="B199" s="5">
        <v>45520</v>
      </c>
      <c r="C199" s="5" t="str">
        <f t="shared" si="7"/>
        <v>2024</v>
      </c>
      <c r="D199" s="5" t="str">
        <f t="shared" si="6"/>
        <v>August</v>
      </c>
      <c r="E199" t="s">
        <v>673</v>
      </c>
      <c r="F199" t="s">
        <v>72</v>
      </c>
      <c r="G199" t="s">
        <v>23</v>
      </c>
      <c r="H199">
        <v>25</v>
      </c>
      <c r="I199" t="s">
        <v>38</v>
      </c>
      <c r="J199" t="s">
        <v>39</v>
      </c>
      <c r="K199" t="s">
        <v>26</v>
      </c>
      <c r="L199" t="s">
        <v>89</v>
      </c>
      <c r="M199" t="s">
        <v>90</v>
      </c>
      <c r="N199" t="s">
        <v>128</v>
      </c>
      <c r="O199">
        <v>3</v>
      </c>
      <c r="P199">
        <v>7000</v>
      </c>
      <c r="Q199">
        <v>5</v>
      </c>
      <c r="R199">
        <v>19950</v>
      </c>
      <c r="S199">
        <v>4756.6099999999997</v>
      </c>
      <c r="T199" t="s">
        <v>59</v>
      </c>
      <c r="U199" t="s">
        <v>51</v>
      </c>
      <c r="V199" t="s">
        <v>65</v>
      </c>
    </row>
    <row r="200" spans="1:22" x14ac:dyDescent="0.35">
      <c r="A200" t="s">
        <v>674</v>
      </c>
      <c r="B200" s="5">
        <v>45415</v>
      </c>
      <c r="C200" s="5" t="str">
        <f t="shared" si="7"/>
        <v>2024</v>
      </c>
      <c r="D200" s="5" t="str">
        <f t="shared" si="6"/>
        <v>May</v>
      </c>
      <c r="E200" t="s">
        <v>676</v>
      </c>
      <c r="F200" t="s">
        <v>677</v>
      </c>
      <c r="G200" t="s">
        <v>23</v>
      </c>
      <c r="H200">
        <v>57</v>
      </c>
      <c r="I200" t="s">
        <v>86</v>
      </c>
      <c r="J200" t="s">
        <v>87</v>
      </c>
      <c r="K200" t="s">
        <v>88</v>
      </c>
      <c r="L200" t="s">
        <v>89</v>
      </c>
      <c r="M200" t="s">
        <v>90</v>
      </c>
      <c r="N200" t="s">
        <v>242</v>
      </c>
      <c r="O200">
        <v>1</v>
      </c>
      <c r="P200">
        <v>6000</v>
      </c>
      <c r="Q200">
        <v>0</v>
      </c>
      <c r="R200">
        <v>6000</v>
      </c>
      <c r="S200">
        <v>981.3</v>
      </c>
      <c r="T200" t="s">
        <v>41</v>
      </c>
      <c r="U200" t="s">
        <v>31</v>
      </c>
      <c r="V200" t="s">
        <v>117</v>
      </c>
    </row>
    <row r="201" spans="1:22" x14ac:dyDescent="0.35">
      <c r="A201" t="s">
        <v>678</v>
      </c>
      <c r="B201" s="5">
        <v>45356</v>
      </c>
      <c r="C201" s="5" t="str">
        <f t="shared" si="7"/>
        <v>2024</v>
      </c>
      <c r="D201" s="5" t="str">
        <f t="shared" si="6"/>
        <v>March</v>
      </c>
      <c r="E201" t="s">
        <v>337</v>
      </c>
      <c r="F201" t="s">
        <v>679</v>
      </c>
      <c r="G201" t="s">
        <v>37</v>
      </c>
      <c r="H201">
        <v>24</v>
      </c>
      <c r="I201" t="s">
        <v>57</v>
      </c>
      <c r="J201" t="s">
        <v>57</v>
      </c>
      <c r="K201" t="s">
        <v>58</v>
      </c>
      <c r="L201" t="s">
        <v>78</v>
      </c>
      <c r="M201" t="s">
        <v>79</v>
      </c>
      <c r="N201" t="s">
        <v>156</v>
      </c>
      <c r="O201">
        <v>2</v>
      </c>
      <c r="P201">
        <v>800</v>
      </c>
      <c r="Q201">
        <v>20</v>
      </c>
      <c r="R201">
        <v>1280</v>
      </c>
      <c r="S201">
        <v>272.55</v>
      </c>
      <c r="T201" t="s">
        <v>59</v>
      </c>
      <c r="U201" t="s">
        <v>31</v>
      </c>
      <c r="V201" t="s">
        <v>117</v>
      </c>
    </row>
    <row r="202" spans="1:22" x14ac:dyDescent="0.35">
      <c r="A202" t="s">
        <v>680</v>
      </c>
      <c r="B202" s="5">
        <v>45638</v>
      </c>
      <c r="C202" s="5" t="str">
        <f t="shared" si="7"/>
        <v>2024</v>
      </c>
      <c r="D202" s="5" t="str">
        <f t="shared" si="6"/>
        <v>December</v>
      </c>
      <c r="E202" t="s">
        <v>104</v>
      </c>
      <c r="F202" t="s">
        <v>563</v>
      </c>
      <c r="G202" t="s">
        <v>23</v>
      </c>
      <c r="H202">
        <v>57</v>
      </c>
      <c r="I202" t="s">
        <v>38</v>
      </c>
      <c r="J202" t="s">
        <v>39</v>
      </c>
      <c r="K202" t="s">
        <v>26</v>
      </c>
      <c r="L202" t="s">
        <v>78</v>
      </c>
      <c r="M202" t="s">
        <v>79</v>
      </c>
      <c r="N202" t="s">
        <v>156</v>
      </c>
      <c r="O202">
        <v>5</v>
      </c>
      <c r="P202">
        <v>800</v>
      </c>
      <c r="Q202">
        <v>0</v>
      </c>
      <c r="R202">
        <v>4000</v>
      </c>
      <c r="S202">
        <v>379.07</v>
      </c>
      <c r="T202" t="s">
        <v>81</v>
      </c>
      <c r="U202" t="s">
        <v>51</v>
      </c>
      <c r="V202" t="s">
        <v>65</v>
      </c>
    </row>
    <row r="203" spans="1:22" x14ac:dyDescent="0.35">
      <c r="A203" t="s">
        <v>681</v>
      </c>
      <c r="B203" s="5">
        <v>45761</v>
      </c>
      <c r="C203" s="5" t="str">
        <f t="shared" si="7"/>
        <v>2025</v>
      </c>
      <c r="D203" s="5" t="str">
        <f t="shared" si="6"/>
        <v>April</v>
      </c>
      <c r="E203" t="s">
        <v>646</v>
      </c>
      <c r="F203" t="s">
        <v>683</v>
      </c>
      <c r="G203" t="s">
        <v>37</v>
      </c>
      <c r="H203">
        <v>48</v>
      </c>
      <c r="I203" t="s">
        <v>114</v>
      </c>
      <c r="J203" t="s">
        <v>115</v>
      </c>
      <c r="K203" t="s">
        <v>88</v>
      </c>
      <c r="L203" t="s">
        <v>89</v>
      </c>
      <c r="M203" t="s">
        <v>90</v>
      </c>
      <c r="N203" t="s">
        <v>91</v>
      </c>
      <c r="O203">
        <v>3</v>
      </c>
      <c r="P203">
        <v>9000</v>
      </c>
      <c r="Q203">
        <v>20</v>
      </c>
      <c r="R203">
        <v>21600</v>
      </c>
      <c r="S203">
        <v>3816.3</v>
      </c>
      <c r="T203" t="s">
        <v>50</v>
      </c>
      <c r="U203" t="s">
        <v>31</v>
      </c>
      <c r="V203" t="s">
        <v>65</v>
      </c>
    </row>
    <row r="204" spans="1:22" x14ac:dyDescent="0.35">
      <c r="A204" t="s">
        <v>684</v>
      </c>
      <c r="B204" s="5">
        <v>45565</v>
      </c>
      <c r="C204" s="5" t="str">
        <f t="shared" si="7"/>
        <v>2024</v>
      </c>
      <c r="D204" s="5" t="str">
        <f t="shared" si="6"/>
        <v>September</v>
      </c>
      <c r="E204" t="s">
        <v>400</v>
      </c>
      <c r="F204" t="s">
        <v>685</v>
      </c>
      <c r="G204" t="s">
        <v>37</v>
      </c>
      <c r="H204">
        <v>56</v>
      </c>
      <c r="I204" t="s">
        <v>98</v>
      </c>
      <c r="J204" t="s">
        <v>99</v>
      </c>
      <c r="K204" t="s">
        <v>100</v>
      </c>
      <c r="L204" t="s">
        <v>47</v>
      </c>
      <c r="M204" t="s">
        <v>48</v>
      </c>
      <c r="N204" t="s">
        <v>49</v>
      </c>
      <c r="O204">
        <v>3</v>
      </c>
      <c r="P204">
        <v>150</v>
      </c>
      <c r="Q204">
        <v>0</v>
      </c>
      <c r="R204">
        <v>450</v>
      </c>
      <c r="S204">
        <v>87.43</v>
      </c>
      <c r="T204" t="s">
        <v>41</v>
      </c>
      <c r="U204" t="s">
        <v>92</v>
      </c>
      <c r="V204" t="s">
        <v>117</v>
      </c>
    </row>
    <row r="205" spans="1:22" x14ac:dyDescent="0.35">
      <c r="A205" t="s">
        <v>686</v>
      </c>
      <c r="B205" s="5">
        <v>45460</v>
      </c>
      <c r="C205" s="5" t="str">
        <f t="shared" si="7"/>
        <v>2024</v>
      </c>
      <c r="D205" s="5" t="str">
        <f t="shared" si="6"/>
        <v>June</v>
      </c>
      <c r="E205" t="s">
        <v>143</v>
      </c>
      <c r="F205" t="s">
        <v>168</v>
      </c>
      <c r="G205" t="s">
        <v>23</v>
      </c>
      <c r="H205">
        <v>35</v>
      </c>
      <c r="I205" t="s">
        <v>57</v>
      </c>
      <c r="J205" t="s">
        <v>57</v>
      </c>
      <c r="K205" t="s">
        <v>58</v>
      </c>
      <c r="L205" t="s">
        <v>27</v>
      </c>
      <c r="M205" t="s">
        <v>28</v>
      </c>
      <c r="N205" t="s">
        <v>140</v>
      </c>
      <c r="O205">
        <v>5</v>
      </c>
      <c r="P205">
        <v>65000</v>
      </c>
      <c r="Q205">
        <v>10</v>
      </c>
      <c r="R205">
        <v>292500</v>
      </c>
      <c r="S205">
        <v>32876.129999999997</v>
      </c>
      <c r="T205" t="s">
        <v>41</v>
      </c>
      <c r="U205" t="s">
        <v>31</v>
      </c>
      <c r="V205" t="s">
        <v>32</v>
      </c>
    </row>
    <row r="206" spans="1:22" x14ac:dyDescent="0.35">
      <c r="A206" t="s">
        <v>688</v>
      </c>
      <c r="B206" s="5">
        <v>45432</v>
      </c>
      <c r="C206" s="5" t="str">
        <f t="shared" si="7"/>
        <v>2024</v>
      </c>
      <c r="D206" s="5" t="str">
        <f t="shared" si="6"/>
        <v>May</v>
      </c>
      <c r="E206" t="s">
        <v>689</v>
      </c>
      <c r="F206" t="s">
        <v>413</v>
      </c>
      <c r="G206" t="s">
        <v>23</v>
      </c>
      <c r="H206">
        <v>40</v>
      </c>
      <c r="I206" t="s">
        <v>57</v>
      </c>
      <c r="J206" t="s">
        <v>57</v>
      </c>
      <c r="K206" t="s">
        <v>58</v>
      </c>
      <c r="L206" t="s">
        <v>78</v>
      </c>
      <c r="M206" t="s">
        <v>79</v>
      </c>
      <c r="N206" t="s">
        <v>101</v>
      </c>
      <c r="O206">
        <v>1</v>
      </c>
      <c r="P206">
        <v>3500</v>
      </c>
      <c r="Q206">
        <v>5</v>
      </c>
      <c r="R206">
        <v>3325</v>
      </c>
      <c r="S206">
        <v>535.34</v>
      </c>
      <c r="T206" t="s">
        <v>50</v>
      </c>
      <c r="U206" t="s">
        <v>51</v>
      </c>
      <c r="V206" t="s">
        <v>52</v>
      </c>
    </row>
    <row r="207" spans="1:22" x14ac:dyDescent="0.35">
      <c r="A207" t="s">
        <v>690</v>
      </c>
      <c r="B207" s="5">
        <v>45497</v>
      </c>
      <c r="C207" s="5" t="str">
        <f t="shared" si="7"/>
        <v>2024</v>
      </c>
      <c r="D207" s="5" t="str">
        <f t="shared" si="6"/>
        <v>July</v>
      </c>
      <c r="E207" t="s">
        <v>373</v>
      </c>
      <c r="F207" t="s">
        <v>502</v>
      </c>
      <c r="G207" t="s">
        <v>23</v>
      </c>
      <c r="H207">
        <v>45</v>
      </c>
      <c r="I207" t="s">
        <v>38</v>
      </c>
      <c r="J207" t="s">
        <v>39</v>
      </c>
      <c r="K207" t="s">
        <v>26</v>
      </c>
      <c r="L207" t="s">
        <v>47</v>
      </c>
      <c r="M207" t="s">
        <v>48</v>
      </c>
      <c r="N207" t="s">
        <v>116</v>
      </c>
      <c r="O207">
        <v>3</v>
      </c>
      <c r="P207">
        <v>120</v>
      </c>
      <c r="Q207">
        <v>15</v>
      </c>
      <c r="R207">
        <v>306</v>
      </c>
      <c r="S207">
        <v>30.75</v>
      </c>
      <c r="T207" t="s">
        <v>81</v>
      </c>
      <c r="U207" t="s">
        <v>51</v>
      </c>
      <c r="V207" t="s">
        <v>93</v>
      </c>
    </row>
    <row r="208" spans="1:22" x14ac:dyDescent="0.35">
      <c r="A208" t="s">
        <v>692</v>
      </c>
      <c r="B208" s="5">
        <v>45604</v>
      </c>
      <c r="C208" s="5" t="str">
        <f t="shared" si="7"/>
        <v>2024</v>
      </c>
      <c r="D208" s="5" t="str">
        <f t="shared" si="6"/>
        <v>November</v>
      </c>
      <c r="E208" t="s">
        <v>480</v>
      </c>
      <c r="F208" t="s">
        <v>643</v>
      </c>
      <c r="G208" t="s">
        <v>23</v>
      </c>
      <c r="H208">
        <v>30</v>
      </c>
      <c r="I208" t="s">
        <v>86</v>
      </c>
      <c r="J208" t="s">
        <v>87</v>
      </c>
      <c r="K208" t="s">
        <v>88</v>
      </c>
      <c r="L208" t="s">
        <v>27</v>
      </c>
      <c r="M208" t="s">
        <v>28</v>
      </c>
      <c r="N208" t="s">
        <v>73</v>
      </c>
      <c r="O208">
        <v>1</v>
      </c>
      <c r="P208">
        <v>25000</v>
      </c>
      <c r="Q208">
        <v>0</v>
      </c>
      <c r="R208">
        <v>25000</v>
      </c>
      <c r="S208">
        <v>3623.02</v>
      </c>
      <c r="T208" t="s">
        <v>50</v>
      </c>
      <c r="U208" t="s">
        <v>51</v>
      </c>
      <c r="V208" t="s">
        <v>52</v>
      </c>
    </row>
    <row r="209" spans="1:22" x14ac:dyDescent="0.35">
      <c r="A209" t="s">
        <v>693</v>
      </c>
      <c r="B209" s="5">
        <v>45661</v>
      </c>
      <c r="C209" s="5" t="str">
        <f t="shared" si="7"/>
        <v>2025</v>
      </c>
      <c r="D209" s="5" t="str">
        <f t="shared" si="6"/>
        <v>January</v>
      </c>
      <c r="E209" t="s">
        <v>526</v>
      </c>
      <c r="F209" t="s">
        <v>694</v>
      </c>
      <c r="G209" t="s">
        <v>37</v>
      </c>
      <c r="H209">
        <v>44</v>
      </c>
      <c r="I209" t="s">
        <v>46</v>
      </c>
      <c r="J209" t="s">
        <v>25</v>
      </c>
      <c r="K209" t="s">
        <v>26</v>
      </c>
      <c r="L209" t="s">
        <v>89</v>
      </c>
      <c r="M209" t="s">
        <v>90</v>
      </c>
      <c r="N209" t="s">
        <v>242</v>
      </c>
      <c r="O209">
        <v>3</v>
      </c>
      <c r="P209">
        <v>6000</v>
      </c>
      <c r="Q209">
        <v>10</v>
      </c>
      <c r="R209">
        <v>16200</v>
      </c>
      <c r="S209">
        <v>2334.35</v>
      </c>
      <c r="T209" t="s">
        <v>81</v>
      </c>
      <c r="U209" t="s">
        <v>51</v>
      </c>
      <c r="V209" t="s">
        <v>32</v>
      </c>
    </row>
    <row r="210" spans="1:22" x14ac:dyDescent="0.35">
      <c r="A210" t="s">
        <v>695</v>
      </c>
      <c r="B210" s="5">
        <v>45805</v>
      </c>
      <c r="C210" s="5" t="str">
        <f t="shared" si="7"/>
        <v>2025</v>
      </c>
      <c r="D210" s="5" t="str">
        <f t="shared" si="6"/>
        <v>May</v>
      </c>
      <c r="E210" t="s">
        <v>146</v>
      </c>
      <c r="F210" t="s">
        <v>389</v>
      </c>
      <c r="G210" t="s">
        <v>37</v>
      </c>
      <c r="H210">
        <v>34</v>
      </c>
      <c r="I210" t="s">
        <v>46</v>
      </c>
      <c r="J210" t="s">
        <v>25</v>
      </c>
      <c r="K210" t="s">
        <v>26</v>
      </c>
      <c r="L210" t="s">
        <v>27</v>
      </c>
      <c r="M210" t="s">
        <v>28</v>
      </c>
      <c r="N210" t="s">
        <v>73</v>
      </c>
      <c r="O210">
        <v>1</v>
      </c>
      <c r="P210">
        <v>25000</v>
      </c>
      <c r="Q210">
        <v>5</v>
      </c>
      <c r="R210">
        <v>23750</v>
      </c>
      <c r="S210">
        <v>2195.9</v>
      </c>
      <c r="T210" t="s">
        <v>59</v>
      </c>
      <c r="U210" t="s">
        <v>51</v>
      </c>
      <c r="V210" t="s">
        <v>117</v>
      </c>
    </row>
    <row r="211" spans="1:22" x14ac:dyDescent="0.35">
      <c r="A211" t="s">
        <v>697</v>
      </c>
      <c r="B211" s="5">
        <v>45424</v>
      </c>
      <c r="C211" s="5" t="str">
        <f t="shared" si="7"/>
        <v>2024</v>
      </c>
      <c r="D211" s="5" t="str">
        <f t="shared" si="6"/>
        <v>May</v>
      </c>
      <c r="E211" t="s">
        <v>343</v>
      </c>
      <c r="F211" t="s">
        <v>222</v>
      </c>
      <c r="G211" t="s">
        <v>23</v>
      </c>
      <c r="H211">
        <v>23</v>
      </c>
      <c r="I211" t="s">
        <v>126</v>
      </c>
      <c r="J211" t="s">
        <v>127</v>
      </c>
      <c r="K211" t="s">
        <v>88</v>
      </c>
      <c r="L211" t="s">
        <v>27</v>
      </c>
      <c r="M211" t="s">
        <v>28</v>
      </c>
      <c r="N211" t="s">
        <v>40</v>
      </c>
      <c r="O211">
        <v>5</v>
      </c>
      <c r="P211">
        <v>2500</v>
      </c>
      <c r="Q211">
        <v>15</v>
      </c>
      <c r="R211">
        <v>10625</v>
      </c>
      <c r="S211">
        <v>942.86</v>
      </c>
      <c r="T211" t="s">
        <v>50</v>
      </c>
      <c r="U211" t="s">
        <v>31</v>
      </c>
      <c r="V211" t="s">
        <v>117</v>
      </c>
    </row>
    <row r="212" spans="1:22" x14ac:dyDescent="0.35">
      <c r="A212" t="s">
        <v>699</v>
      </c>
      <c r="B212" s="5">
        <v>45508</v>
      </c>
      <c r="C212" s="5" t="str">
        <f t="shared" si="7"/>
        <v>2024</v>
      </c>
      <c r="D212" s="5" t="str">
        <f t="shared" si="6"/>
        <v>August</v>
      </c>
      <c r="E212" t="s">
        <v>701</v>
      </c>
      <c r="F212" t="s">
        <v>168</v>
      </c>
      <c r="G212" t="s">
        <v>37</v>
      </c>
      <c r="H212">
        <v>46</v>
      </c>
      <c r="I212" t="s">
        <v>24</v>
      </c>
      <c r="J212" t="s">
        <v>25</v>
      </c>
      <c r="K212" t="s">
        <v>26</v>
      </c>
      <c r="L212" t="s">
        <v>89</v>
      </c>
      <c r="M212" t="s">
        <v>90</v>
      </c>
      <c r="N212" t="s">
        <v>128</v>
      </c>
      <c r="O212">
        <v>2</v>
      </c>
      <c r="P212">
        <v>7000</v>
      </c>
      <c r="Q212">
        <v>0</v>
      </c>
      <c r="R212">
        <v>14000</v>
      </c>
      <c r="S212">
        <v>1839.99</v>
      </c>
      <c r="T212" t="s">
        <v>50</v>
      </c>
      <c r="U212" t="s">
        <v>51</v>
      </c>
      <c r="V212" t="s">
        <v>117</v>
      </c>
    </row>
    <row r="213" spans="1:22" x14ac:dyDescent="0.35">
      <c r="A213" t="s">
        <v>702</v>
      </c>
      <c r="B213" s="5">
        <v>45306</v>
      </c>
      <c r="C213" s="5" t="str">
        <f t="shared" si="7"/>
        <v>2024</v>
      </c>
      <c r="D213" s="5" t="str">
        <f t="shared" si="6"/>
        <v>January</v>
      </c>
      <c r="E213" t="s">
        <v>704</v>
      </c>
      <c r="F213" t="s">
        <v>222</v>
      </c>
      <c r="G213" t="s">
        <v>23</v>
      </c>
      <c r="H213">
        <v>48</v>
      </c>
      <c r="I213" t="s">
        <v>24</v>
      </c>
      <c r="J213" t="s">
        <v>25</v>
      </c>
      <c r="K213" t="s">
        <v>26</v>
      </c>
      <c r="L213" t="s">
        <v>89</v>
      </c>
      <c r="M213" t="s">
        <v>90</v>
      </c>
      <c r="N213" t="s">
        <v>242</v>
      </c>
      <c r="O213">
        <v>1</v>
      </c>
      <c r="P213">
        <v>6000</v>
      </c>
      <c r="Q213">
        <v>20</v>
      </c>
      <c r="R213">
        <v>4800</v>
      </c>
      <c r="S213">
        <v>974.39</v>
      </c>
      <c r="T213" t="s">
        <v>81</v>
      </c>
      <c r="U213" t="s">
        <v>51</v>
      </c>
      <c r="V213" t="s">
        <v>117</v>
      </c>
    </row>
    <row r="214" spans="1:22" x14ac:dyDescent="0.35">
      <c r="A214" t="s">
        <v>705</v>
      </c>
      <c r="B214" s="5">
        <v>45430</v>
      </c>
      <c r="C214" s="5" t="str">
        <f t="shared" si="7"/>
        <v>2024</v>
      </c>
      <c r="D214" s="5" t="str">
        <f t="shared" si="6"/>
        <v>May</v>
      </c>
      <c r="E214" t="s">
        <v>707</v>
      </c>
      <c r="F214" t="s">
        <v>168</v>
      </c>
      <c r="G214" t="s">
        <v>37</v>
      </c>
      <c r="H214">
        <v>38</v>
      </c>
      <c r="I214" t="s">
        <v>86</v>
      </c>
      <c r="J214" t="s">
        <v>87</v>
      </c>
      <c r="K214" t="s">
        <v>88</v>
      </c>
      <c r="L214" t="s">
        <v>89</v>
      </c>
      <c r="M214" t="s">
        <v>90</v>
      </c>
      <c r="N214" t="s">
        <v>91</v>
      </c>
      <c r="O214">
        <v>3</v>
      </c>
      <c r="P214">
        <v>9000</v>
      </c>
      <c r="Q214">
        <v>5</v>
      </c>
      <c r="R214">
        <v>25650</v>
      </c>
      <c r="S214">
        <v>4291.16</v>
      </c>
      <c r="T214" t="s">
        <v>41</v>
      </c>
      <c r="U214" t="s">
        <v>51</v>
      </c>
      <c r="V214" t="s">
        <v>117</v>
      </c>
    </row>
    <row r="215" spans="1:22" x14ac:dyDescent="0.35">
      <c r="A215" t="s">
        <v>708</v>
      </c>
      <c r="B215" s="5">
        <v>45656</v>
      </c>
      <c r="C215" s="5" t="str">
        <f t="shared" si="7"/>
        <v>2024</v>
      </c>
      <c r="D215" s="5" t="str">
        <f t="shared" si="6"/>
        <v>December</v>
      </c>
      <c r="E215" t="s">
        <v>400</v>
      </c>
      <c r="F215" t="s">
        <v>709</v>
      </c>
      <c r="G215" t="s">
        <v>23</v>
      </c>
      <c r="H215">
        <v>26</v>
      </c>
      <c r="I215" t="s">
        <v>114</v>
      </c>
      <c r="J215" t="s">
        <v>115</v>
      </c>
      <c r="K215" t="s">
        <v>88</v>
      </c>
      <c r="L215" t="s">
        <v>27</v>
      </c>
      <c r="M215" t="s">
        <v>28</v>
      </c>
      <c r="N215" t="s">
        <v>29</v>
      </c>
      <c r="O215">
        <v>1</v>
      </c>
      <c r="P215">
        <v>12000</v>
      </c>
      <c r="Q215">
        <v>10</v>
      </c>
      <c r="R215">
        <v>10800</v>
      </c>
      <c r="S215">
        <v>2802.04</v>
      </c>
      <c r="T215" t="s">
        <v>30</v>
      </c>
      <c r="U215" t="s">
        <v>92</v>
      </c>
      <c r="V215" t="s">
        <v>60</v>
      </c>
    </row>
    <row r="216" spans="1:22" x14ac:dyDescent="0.35">
      <c r="A216" t="s">
        <v>710</v>
      </c>
      <c r="B216" s="5">
        <v>45633</v>
      </c>
      <c r="C216" s="5" t="str">
        <f t="shared" si="7"/>
        <v>2024</v>
      </c>
      <c r="D216" s="5" t="str">
        <f t="shared" si="6"/>
        <v>December</v>
      </c>
      <c r="E216" t="s">
        <v>711</v>
      </c>
      <c r="F216" t="s">
        <v>332</v>
      </c>
      <c r="G216" t="s">
        <v>37</v>
      </c>
      <c r="H216">
        <v>26</v>
      </c>
      <c r="I216" t="s">
        <v>57</v>
      </c>
      <c r="J216" t="s">
        <v>57</v>
      </c>
      <c r="K216" t="s">
        <v>58</v>
      </c>
      <c r="L216" t="s">
        <v>78</v>
      </c>
      <c r="M216" t="s">
        <v>79</v>
      </c>
      <c r="N216" t="s">
        <v>156</v>
      </c>
      <c r="O216">
        <v>3</v>
      </c>
      <c r="P216">
        <v>800</v>
      </c>
      <c r="Q216">
        <v>10</v>
      </c>
      <c r="R216">
        <v>2160</v>
      </c>
      <c r="S216">
        <v>299.52</v>
      </c>
      <c r="T216" t="s">
        <v>81</v>
      </c>
      <c r="U216" t="s">
        <v>92</v>
      </c>
      <c r="V216" t="s">
        <v>65</v>
      </c>
    </row>
    <row r="217" spans="1:22" x14ac:dyDescent="0.35">
      <c r="A217" t="s">
        <v>712</v>
      </c>
      <c r="B217" s="5">
        <v>45593</v>
      </c>
      <c r="C217" s="5" t="str">
        <f t="shared" si="7"/>
        <v>2024</v>
      </c>
      <c r="D217" s="5" t="str">
        <f t="shared" si="6"/>
        <v>October</v>
      </c>
      <c r="E217" t="s">
        <v>270</v>
      </c>
      <c r="F217" t="s">
        <v>226</v>
      </c>
      <c r="G217" t="s">
        <v>23</v>
      </c>
      <c r="H217">
        <v>37</v>
      </c>
      <c r="I217" t="s">
        <v>38</v>
      </c>
      <c r="J217" t="s">
        <v>39</v>
      </c>
      <c r="K217" t="s">
        <v>26</v>
      </c>
      <c r="L217" t="s">
        <v>89</v>
      </c>
      <c r="M217" t="s">
        <v>90</v>
      </c>
      <c r="N217" t="s">
        <v>242</v>
      </c>
      <c r="O217">
        <v>3</v>
      </c>
      <c r="P217">
        <v>6000</v>
      </c>
      <c r="Q217">
        <v>20</v>
      </c>
      <c r="R217">
        <v>14400</v>
      </c>
      <c r="S217">
        <v>1403.53</v>
      </c>
      <c r="T217" t="s">
        <v>50</v>
      </c>
      <c r="U217" t="s">
        <v>92</v>
      </c>
      <c r="V217" t="s">
        <v>52</v>
      </c>
    </row>
    <row r="218" spans="1:22" x14ac:dyDescent="0.35">
      <c r="A218" t="s">
        <v>714</v>
      </c>
      <c r="B218" s="5">
        <v>45430</v>
      </c>
      <c r="C218" s="5" t="str">
        <f t="shared" si="7"/>
        <v>2024</v>
      </c>
      <c r="D218" s="5" t="str">
        <f t="shared" si="6"/>
        <v>May</v>
      </c>
      <c r="E218" t="s">
        <v>233</v>
      </c>
      <c r="F218" t="s">
        <v>278</v>
      </c>
      <c r="G218" t="s">
        <v>23</v>
      </c>
      <c r="H218">
        <v>42</v>
      </c>
      <c r="I218" t="s">
        <v>114</v>
      </c>
      <c r="J218" t="s">
        <v>115</v>
      </c>
      <c r="K218" t="s">
        <v>88</v>
      </c>
      <c r="L218" t="s">
        <v>47</v>
      </c>
      <c r="M218" t="s">
        <v>48</v>
      </c>
      <c r="N218" t="s">
        <v>116</v>
      </c>
      <c r="O218">
        <v>4</v>
      </c>
      <c r="P218">
        <v>120</v>
      </c>
      <c r="Q218">
        <v>15</v>
      </c>
      <c r="R218">
        <v>408</v>
      </c>
      <c r="S218">
        <v>51.18</v>
      </c>
      <c r="T218" t="s">
        <v>41</v>
      </c>
      <c r="U218" t="s">
        <v>31</v>
      </c>
      <c r="V218" t="s">
        <v>60</v>
      </c>
    </row>
    <row r="219" spans="1:22" x14ac:dyDescent="0.35">
      <c r="A219" t="s">
        <v>715</v>
      </c>
      <c r="B219" s="5">
        <v>45311</v>
      </c>
      <c r="C219" s="5" t="str">
        <f t="shared" si="7"/>
        <v>2024</v>
      </c>
      <c r="D219" s="5" t="str">
        <f t="shared" si="6"/>
        <v>January</v>
      </c>
      <c r="E219" t="s">
        <v>189</v>
      </c>
      <c r="F219" t="s">
        <v>465</v>
      </c>
      <c r="G219" t="s">
        <v>37</v>
      </c>
      <c r="H219">
        <v>59</v>
      </c>
      <c r="I219" t="s">
        <v>46</v>
      </c>
      <c r="J219" t="s">
        <v>25</v>
      </c>
      <c r="K219" t="s">
        <v>26</v>
      </c>
      <c r="L219" t="s">
        <v>78</v>
      </c>
      <c r="M219" t="s">
        <v>79</v>
      </c>
      <c r="N219" t="s">
        <v>156</v>
      </c>
      <c r="O219">
        <v>2</v>
      </c>
      <c r="P219">
        <v>800</v>
      </c>
      <c r="Q219">
        <v>5</v>
      </c>
      <c r="R219">
        <v>1520</v>
      </c>
      <c r="S219">
        <v>355.67</v>
      </c>
      <c r="T219" t="s">
        <v>50</v>
      </c>
      <c r="U219" t="s">
        <v>31</v>
      </c>
      <c r="V219" t="s">
        <v>32</v>
      </c>
    </row>
    <row r="220" spans="1:22" x14ac:dyDescent="0.35">
      <c r="A220" t="s">
        <v>717</v>
      </c>
      <c r="B220" s="5">
        <v>45556</v>
      </c>
      <c r="C220" s="5" t="str">
        <f t="shared" si="7"/>
        <v>2024</v>
      </c>
      <c r="D220" s="5" t="str">
        <f t="shared" si="6"/>
        <v>September</v>
      </c>
      <c r="E220" t="s">
        <v>471</v>
      </c>
      <c r="F220" t="s">
        <v>574</v>
      </c>
      <c r="G220" t="s">
        <v>37</v>
      </c>
      <c r="H220">
        <v>36</v>
      </c>
      <c r="I220" t="s">
        <v>57</v>
      </c>
      <c r="J220" t="s">
        <v>57</v>
      </c>
      <c r="K220" t="s">
        <v>58</v>
      </c>
      <c r="L220" t="s">
        <v>27</v>
      </c>
      <c r="M220" t="s">
        <v>28</v>
      </c>
      <c r="N220" t="s">
        <v>140</v>
      </c>
      <c r="O220">
        <v>5</v>
      </c>
      <c r="P220">
        <v>65000</v>
      </c>
      <c r="Q220">
        <v>15</v>
      </c>
      <c r="R220">
        <v>276250</v>
      </c>
      <c r="S220">
        <v>57305.120000000003</v>
      </c>
      <c r="T220" t="s">
        <v>50</v>
      </c>
      <c r="U220" t="s">
        <v>51</v>
      </c>
      <c r="V220" t="s">
        <v>93</v>
      </c>
    </row>
    <row r="221" spans="1:22" x14ac:dyDescent="0.35">
      <c r="A221" t="s">
        <v>719</v>
      </c>
      <c r="B221" s="5">
        <v>45326</v>
      </c>
      <c r="C221" s="5" t="str">
        <f t="shared" si="7"/>
        <v>2024</v>
      </c>
      <c r="D221" s="5" t="str">
        <f t="shared" si="6"/>
        <v>February</v>
      </c>
      <c r="E221" t="s">
        <v>513</v>
      </c>
      <c r="F221" t="s">
        <v>179</v>
      </c>
      <c r="G221" t="s">
        <v>37</v>
      </c>
      <c r="H221">
        <v>60</v>
      </c>
      <c r="I221" t="s">
        <v>86</v>
      </c>
      <c r="J221" t="s">
        <v>87</v>
      </c>
      <c r="K221" t="s">
        <v>88</v>
      </c>
      <c r="L221" t="s">
        <v>27</v>
      </c>
      <c r="M221" t="s">
        <v>28</v>
      </c>
      <c r="N221" t="s">
        <v>73</v>
      </c>
      <c r="O221">
        <v>1</v>
      </c>
      <c r="P221">
        <v>25000</v>
      </c>
      <c r="Q221">
        <v>15</v>
      </c>
      <c r="R221">
        <v>21250</v>
      </c>
      <c r="S221">
        <v>5926.63</v>
      </c>
      <c r="T221" t="s">
        <v>30</v>
      </c>
      <c r="U221" t="s">
        <v>51</v>
      </c>
      <c r="V221" t="s">
        <v>52</v>
      </c>
    </row>
    <row r="222" spans="1:22" x14ac:dyDescent="0.35">
      <c r="A222" t="s">
        <v>721</v>
      </c>
      <c r="B222" s="5">
        <v>45524</v>
      </c>
      <c r="C222" s="5" t="str">
        <f t="shared" si="7"/>
        <v>2024</v>
      </c>
      <c r="D222" s="5" t="str">
        <f t="shared" si="6"/>
        <v>August</v>
      </c>
      <c r="E222" t="s">
        <v>440</v>
      </c>
      <c r="F222" t="s">
        <v>285</v>
      </c>
      <c r="G222" t="s">
        <v>23</v>
      </c>
      <c r="H222">
        <v>55</v>
      </c>
      <c r="I222" t="s">
        <v>86</v>
      </c>
      <c r="J222" t="s">
        <v>87</v>
      </c>
      <c r="K222" t="s">
        <v>88</v>
      </c>
      <c r="L222" t="s">
        <v>27</v>
      </c>
      <c r="M222" t="s">
        <v>28</v>
      </c>
      <c r="N222" t="s">
        <v>40</v>
      </c>
      <c r="O222">
        <v>3</v>
      </c>
      <c r="P222">
        <v>2500</v>
      </c>
      <c r="Q222">
        <v>0</v>
      </c>
      <c r="R222">
        <v>7500</v>
      </c>
      <c r="S222">
        <v>737.98</v>
      </c>
      <c r="T222" t="s">
        <v>41</v>
      </c>
      <c r="U222" t="s">
        <v>51</v>
      </c>
      <c r="V222" t="s">
        <v>117</v>
      </c>
    </row>
    <row r="223" spans="1:22" x14ac:dyDescent="0.35">
      <c r="A223" t="s">
        <v>723</v>
      </c>
      <c r="B223" s="5">
        <v>45762</v>
      </c>
      <c r="C223" s="5" t="str">
        <f t="shared" si="7"/>
        <v>2025</v>
      </c>
      <c r="D223" s="5" t="str">
        <f t="shared" si="6"/>
        <v>April</v>
      </c>
      <c r="E223" t="s">
        <v>505</v>
      </c>
      <c r="F223" t="s">
        <v>278</v>
      </c>
      <c r="G223" t="s">
        <v>23</v>
      </c>
      <c r="H223">
        <v>54</v>
      </c>
      <c r="I223" t="s">
        <v>46</v>
      </c>
      <c r="J223" t="s">
        <v>25</v>
      </c>
      <c r="K223" t="s">
        <v>26</v>
      </c>
      <c r="L223" t="s">
        <v>47</v>
      </c>
      <c r="M223" t="s">
        <v>48</v>
      </c>
      <c r="N223" t="s">
        <v>215</v>
      </c>
      <c r="O223">
        <v>1</v>
      </c>
      <c r="P223">
        <v>450</v>
      </c>
      <c r="Q223">
        <v>5</v>
      </c>
      <c r="R223">
        <v>427.5</v>
      </c>
      <c r="S223">
        <v>53.14</v>
      </c>
      <c r="T223" t="s">
        <v>81</v>
      </c>
      <c r="U223" t="s">
        <v>51</v>
      </c>
      <c r="V223" t="s">
        <v>60</v>
      </c>
    </row>
    <row r="224" spans="1:22" x14ac:dyDescent="0.35">
      <c r="A224" t="s">
        <v>724</v>
      </c>
      <c r="B224" s="5">
        <v>45690</v>
      </c>
      <c r="C224" s="5" t="str">
        <f t="shared" si="7"/>
        <v>2025</v>
      </c>
      <c r="D224" s="5" t="str">
        <f t="shared" si="6"/>
        <v>February</v>
      </c>
      <c r="E224" t="s">
        <v>376</v>
      </c>
      <c r="F224" t="s">
        <v>685</v>
      </c>
      <c r="G224" t="s">
        <v>37</v>
      </c>
      <c r="H224">
        <v>51</v>
      </c>
      <c r="I224" t="s">
        <v>24</v>
      </c>
      <c r="J224" t="s">
        <v>25</v>
      </c>
      <c r="K224" t="s">
        <v>26</v>
      </c>
      <c r="L224" t="s">
        <v>89</v>
      </c>
      <c r="M224" t="s">
        <v>90</v>
      </c>
      <c r="N224" t="s">
        <v>242</v>
      </c>
      <c r="O224">
        <v>2</v>
      </c>
      <c r="P224">
        <v>6000</v>
      </c>
      <c r="Q224">
        <v>0</v>
      </c>
      <c r="R224">
        <v>12000</v>
      </c>
      <c r="S224">
        <v>2239.2600000000002</v>
      </c>
      <c r="T224" t="s">
        <v>59</v>
      </c>
      <c r="U224" t="s">
        <v>51</v>
      </c>
      <c r="V224" t="s">
        <v>93</v>
      </c>
    </row>
    <row r="225" spans="1:22" x14ac:dyDescent="0.35">
      <c r="A225" t="s">
        <v>725</v>
      </c>
      <c r="B225" s="5">
        <v>45827</v>
      </c>
      <c r="C225" s="5" t="str">
        <f t="shared" si="7"/>
        <v>2025</v>
      </c>
      <c r="D225" s="5" t="str">
        <f t="shared" si="6"/>
        <v>June</v>
      </c>
      <c r="E225" t="s">
        <v>189</v>
      </c>
      <c r="F225" t="s">
        <v>465</v>
      </c>
      <c r="G225" t="s">
        <v>23</v>
      </c>
      <c r="H225">
        <v>21</v>
      </c>
      <c r="I225" t="s">
        <v>46</v>
      </c>
      <c r="J225" t="s">
        <v>25</v>
      </c>
      <c r="K225" t="s">
        <v>26</v>
      </c>
      <c r="L225" t="s">
        <v>89</v>
      </c>
      <c r="M225" t="s">
        <v>90</v>
      </c>
      <c r="N225" t="s">
        <v>91</v>
      </c>
      <c r="O225">
        <v>1</v>
      </c>
      <c r="P225">
        <v>9000</v>
      </c>
      <c r="Q225">
        <v>20</v>
      </c>
      <c r="R225">
        <v>7200</v>
      </c>
      <c r="S225">
        <v>1272.8699999999999</v>
      </c>
      <c r="T225" t="s">
        <v>59</v>
      </c>
      <c r="U225" t="s">
        <v>92</v>
      </c>
      <c r="V225" t="s">
        <v>93</v>
      </c>
    </row>
    <row r="226" spans="1:22" x14ac:dyDescent="0.35">
      <c r="A226" t="s">
        <v>726</v>
      </c>
      <c r="B226" s="5">
        <v>45414</v>
      </c>
      <c r="C226" s="5" t="str">
        <f t="shared" si="7"/>
        <v>2024</v>
      </c>
      <c r="D226" s="5" t="str">
        <f t="shared" si="6"/>
        <v>May</v>
      </c>
      <c r="E226" t="s">
        <v>701</v>
      </c>
      <c r="F226" t="s">
        <v>424</v>
      </c>
      <c r="G226" t="s">
        <v>23</v>
      </c>
      <c r="H226">
        <v>53</v>
      </c>
      <c r="I226" t="s">
        <v>98</v>
      </c>
      <c r="J226" t="s">
        <v>99</v>
      </c>
      <c r="K226" t="s">
        <v>100</v>
      </c>
      <c r="L226" t="s">
        <v>89</v>
      </c>
      <c r="M226" t="s">
        <v>90</v>
      </c>
      <c r="N226" t="s">
        <v>242</v>
      </c>
      <c r="O226">
        <v>3</v>
      </c>
      <c r="P226">
        <v>6000</v>
      </c>
      <c r="Q226">
        <v>20</v>
      </c>
      <c r="R226">
        <v>14400</v>
      </c>
      <c r="S226">
        <v>1692.7</v>
      </c>
      <c r="T226" t="s">
        <v>41</v>
      </c>
      <c r="U226" t="s">
        <v>51</v>
      </c>
      <c r="V226" t="s">
        <v>60</v>
      </c>
    </row>
    <row r="227" spans="1:22" x14ac:dyDescent="0.35">
      <c r="A227" t="s">
        <v>728</v>
      </c>
      <c r="B227" s="5">
        <v>45328</v>
      </c>
      <c r="C227" s="5" t="str">
        <f t="shared" si="7"/>
        <v>2024</v>
      </c>
      <c r="D227" s="5" t="str">
        <f t="shared" si="6"/>
        <v>February</v>
      </c>
      <c r="E227" t="s">
        <v>385</v>
      </c>
      <c r="F227" t="s">
        <v>730</v>
      </c>
      <c r="G227" t="s">
        <v>23</v>
      </c>
      <c r="H227">
        <v>31</v>
      </c>
      <c r="I227" t="s">
        <v>38</v>
      </c>
      <c r="J227" t="s">
        <v>39</v>
      </c>
      <c r="K227" t="s">
        <v>26</v>
      </c>
      <c r="L227" t="s">
        <v>78</v>
      </c>
      <c r="M227" t="s">
        <v>79</v>
      </c>
      <c r="N227" t="s">
        <v>80</v>
      </c>
      <c r="O227">
        <v>4</v>
      </c>
      <c r="P227">
        <v>1800</v>
      </c>
      <c r="Q227">
        <v>20</v>
      </c>
      <c r="R227">
        <v>5760</v>
      </c>
      <c r="S227">
        <v>1003.31</v>
      </c>
      <c r="T227" t="s">
        <v>41</v>
      </c>
      <c r="U227" t="s">
        <v>51</v>
      </c>
      <c r="V227" t="s">
        <v>52</v>
      </c>
    </row>
    <row r="228" spans="1:22" x14ac:dyDescent="0.35">
      <c r="A228" t="s">
        <v>731</v>
      </c>
      <c r="B228" s="5">
        <v>45299</v>
      </c>
      <c r="C228" s="5" t="str">
        <f t="shared" si="7"/>
        <v>2024</v>
      </c>
      <c r="D228" s="5" t="str">
        <f t="shared" si="6"/>
        <v>January</v>
      </c>
      <c r="E228" t="s">
        <v>530</v>
      </c>
      <c r="F228" t="s">
        <v>113</v>
      </c>
      <c r="G228" t="s">
        <v>37</v>
      </c>
      <c r="H228">
        <v>42</v>
      </c>
      <c r="I228" t="s">
        <v>24</v>
      </c>
      <c r="J228" t="s">
        <v>25</v>
      </c>
      <c r="K228" t="s">
        <v>26</v>
      </c>
      <c r="L228" t="s">
        <v>78</v>
      </c>
      <c r="M228" t="s">
        <v>79</v>
      </c>
      <c r="N228" t="s">
        <v>101</v>
      </c>
      <c r="O228">
        <v>3</v>
      </c>
      <c r="P228">
        <v>3500</v>
      </c>
      <c r="Q228">
        <v>15</v>
      </c>
      <c r="R228">
        <v>8925</v>
      </c>
      <c r="S228">
        <v>2301.15</v>
      </c>
      <c r="T228" t="s">
        <v>30</v>
      </c>
      <c r="U228" t="s">
        <v>51</v>
      </c>
      <c r="V228" t="s">
        <v>60</v>
      </c>
    </row>
    <row r="229" spans="1:22" x14ac:dyDescent="0.35">
      <c r="A229" t="s">
        <v>733</v>
      </c>
      <c r="B229" s="5">
        <v>45423</v>
      </c>
      <c r="C229" s="5" t="str">
        <f t="shared" si="7"/>
        <v>2024</v>
      </c>
      <c r="D229" s="5" t="str">
        <f t="shared" si="6"/>
        <v>May</v>
      </c>
      <c r="E229" t="s">
        <v>131</v>
      </c>
      <c r="F229" t="s">
        <v>465</v>
      </c>
      <c r="G229" t="s">
        <v>37</v>
      </c>
      <c r="H229">
        <v>31</v>
      </c>
      <c r="I229" t="s">
        <v>57</v>
      </c>
      <c r="J229" t="s">
        <v>57</v>
      </c>
      <c r="K229" t="s">
        <v>58</v>
      </c>
      <c r="L229" t="s">
        <v>78</v>
      </c>
      <c r="M229" t="s">
        <v>79</v>
      </c>
      <c r="N229" t="s">
        <v>101</v>
      </c>
      <c r="O229">
        <v>4</v>
      </c>
      <c r="P229">
        <v>3500</v>
      </c>
      <c r="Q229">
        <v>10</v>
      </c>
      <c r="R229">
        <v>12600</v>
      </c>
      <c r="S229">
        <v>3475.92</v>
      </c>
      <c r="T229" t="s">
        <v>81</v>
      </c>
      <c r="U229" t="s">
        <v>51</v>
      </c>
      <c r="V229" t="s">
        <v>32</v>
      </c>
    </row>
    <row r="230" spans="1:22" x14ac:dyDescent="0.35">
      <c r="A230" t="s">
        <v>734</v>
      </c>
      <c r="B230" s="5">
        <v>45646</v>
      </c>
      <c r="C230" s="5" t="str">
        <f t="shared" si="7"/>
        <v>2024</v>
      </c>
      <c r="D230" s="5" t="str">
        <f t="shared" si="6"/>
        <v>December</v>
      </c>
      <c r="E230" t="s">
        <v>736</v>
      </c>
      <c r="F230" t="s">
        <v>569</v>
      </c>
      <c r="G230" t="s">
        <v>37</v>
      </c>
      <c r="H230">
        <v>45</v>
      </c>
      <c r="I230" t="s">
        <v>114</v>
      </c>
      <c r="J230" t="s">
        <v>115</v>
      </c>
      <c r="K230" t="s">
        <v>88</v>
      </c>
      <c r="L230" t="s">
        <v>89</v>
      </c>
      <c r="M230" t="s">
        <v>90</v>
      </c>
      <c r="N230" t="s">
        <v>242</v>
      </c>
      <c r="O230">
        <v>3</v>
      </c>
      <c r="P230">
        <v>6000</v>
      </c>
      <c r="Q230">
        <v>10</v>
      </c>
      <c r="R230">
        <v>16200</v>
      </c>
      <c r="S230">
        <v>3538.51</v>
      </c>
      <c r="T230" t="s">
        <v>50</v>
      </c>
      <c r="U230" t="s">
        <v>31</v>
      </c>
      <c r="V230" t="s">
        <v>52</v>
      </c>
    </row>
    <row r="231" spans="1:22" x14ac:dyDescent="0.35">
      <c r="A231" t="s">
        <v>737</v>
      </c>
      <c r="B231" s="5">
        <v>45831</v>
      </c>
      <c r="C231" s="5" t="str">
        <f t="shared" si="7"/>
        <v>2025</v>
      </c>
      <c r="D231" s="5" t="str">
        <f t="shared" si="6"/>
        <v>June</v>
      </c>
      <c r="E231" t="s">
        <v>474</v>
      </c>
      <c r="F231" t="s">
        <v>560</v>
      </c>
      <c r="G231" t="s">
        <v>23</v>
      </c>
      <c r="H231">
        <v>52</v>
      </c>
      <c r="I231" t="s">
        <v>46</v>
      </c>
      <c r="J231" t="s">
        <v>25</v>
      </c>
      <c r="K231" t="s">
        <v>26</v>
      </c>
      <c r="L231" t="s">
        <v>27</v>
      </c>
      <c r="M231" t="s">
        <v>28</v>
      </c>
      <c r="N231" t="s">
        <v>29</v>
      </c>
      <c r="O231">
        <v>4</v>
      </c>
      <c r="P231">
        <v>12000</v>
      </c>
      <c r="Q231">
        <v>5</v>
      </c>
      <c r="R231">
        <v>45600</v>
      </c>
      <c r="S231">
        <v>7913.85</v>
      </c>
      <c r="T231" t="s">
        <v>59</v>
      </c>
      <c r="U231" t="s">
        <v>51</v>
      </c>
      <c r="V231" t="s">
        <v>52</v>
      </c>
    </row>
    <row r="232" spans="1:22" x14ac:dyDescent="0.35">
      <c r="A232" t="s">
        <v>739</v>
      </c>
      <c r="B232" s="5">
        <v>45552</v>
      </c>
      <c r="C232" s="5" t="str">
        <f t="shared" si="7"/>
        <v>2024</v>
      </c>
      <c r="D232" s="5" t="str">
        <f t="shared" si="6"/>
        <v>September</v>
      </c>
      <c r="E232" t="s">
        <v>139</v>
      </c>
      <c r="F232" t="s">
        <v>660</v>
      </c>
      <c r="G232" t="s">
        <v>37</v>
      </c>
      <c r="H232">
        <v>29</v>
      </c>
      <c r="I232" t="s">
        <v>24</v>
      </c>
      <c r="J232" t="s">
        <v>25</v>
      </c>
      <c r="K232" t="s">
        <v>26</v>
      </c>
      <c r="L232" t="s">
        <v>89</v>
      </c>
      <c r="M232" t="s">
        <v>90</v>
      </c>
      <c r="N232" t="s">
        <v>128</v>
      </c>
      <c r="O232">
        <v>4</v>
      </c>
      <c r="P232">
        <v>7000</v>
      </c>
      <c r="Q232">
        <v>5</v>
      </c>
      <c r="R232">
        <v>26600</v>
      </c>
      <c r="S232">
        <v>5841.6</v>
      </c>
      <c r="T232" t="s">
        <v>59</v>
      </c>
      <c r="U232" t="s">
        <v>92</v>
      </c>
      <c r="V232" t="s">
        <v>93</v>
      </c>
    </row>
    <row r="233" spans="1:22" x14ac:dyDescent="0.35">
      <c r="A233" t="s">
        <v>741</v>
      </c>
      <c r="B233" s="5">
        <v>45529</v>
      </c>
      <c r="C233" s="5" t="str">
        <f t="shared" si="7"/>
        <v>2024</v>
      </c>
      <c r="D233" s="5" t="str">
        <f t="shared" si="6"/>
        <v>August</v>
      </c>
      <c r="E233" t="s">
        <v>185</v>
      </c>
      <c r="F233" t="s">
        <v>441</v>
      </c>
      <c r="G233" t="s">
        <v>23</v>
      </c>
      <c r="H233">
        <v>38</v>
      </c>
      <c r="I233" t="s">
        <v>46</v>
      </c>
      <c r="J233" t="s">
        <v>25</v>
      </c>
      <c r="K233" t="s">
        <v>26</v>
      </c>
      <c r="L233" t="s">
        <v>27</v>
      </c>
      <c r="M233" t="s">
        <v>28</v>
      </c>
      <c r="N233" t="s">
        <v>140</v>
      </c>
      <c r="O233">
        <v>4</v>
      </c>
      <c r="P233">
        <v>65000</v>
      </c>
      <c r="Q233">
        <v>0</v>
      </c>
      <c r="R233">
        <v>260000</v>
      </c>
      <c r="S233">
        <v>40207.019999999997</v>
      </c>
      <c r="T233" t="s">
        <v>50</v>
      </c>
      <c r="U233" t="s">
        <v>31</v>
      </c>
      <c r="V233" t="s">
        <v>60</v>
      </c>
    </row>
    <row r="234" spans="1:22" x14ac:dyDescent="0.35">
      <c r="A234" t="s">
        <v>742</v>
      </c>
      <c r="B234" s="5">
        <v>45321</v>
      </c>
      <c r="C234" s="5" t="str">
        <f t="shared" si="7"/>
        <v>2024</v>
      </c>
      <c r="D234" s="5" t="str">
        <f t="shared" si="6"/>
        <v>January</v>
      </c>
      <c r="E234" t="s">
        <v>55</v>
      </c>
      <c r="F234" t="s">
        <v>109</v>
      </c>
      <c r="G234" t="s">
        <v>23</v>
      </c>
      <c r="H234">
        <v>44</v>
      </c>
      <c r="I234" t="s">
        <v>86</v>
      </c>
      <c r="J234" t="s">
        <v>87</v>
      </c>
      <c r="K234" t="s">
        <v>88</v>
      </c>
      <c r="L234" t="s">
        <v>27</v>
      </c>
      <c r="M234" t="s">
        <v>28</v>
      </c>
      <c r="N234" t="s">
        <v>29</v>
      </c>
      <c r="O234">
        <v>4</v>
      </c>
      <c r="P234">
        <v>12000</v>
      </c>
      <c r="Q234">
        <v>10</v>
      </c>
      <c r="R234">
        <v>43200</v>
      </c>
      <c r="S234">
        <v>5116.8</v>
      </c>
      <c r="T234" t="s">
        <v>50</v>
      </c>
      <c r="U234" t="s">
        <v>31</v>
      </c>
      <c r="V234" t="s">
        <v>60</v>
      </c>
    </row>
    <row r="235" spans="1:22" x14ac:dyDescent="0.35">
      <c r="A235" t="s">
        <v>744</v>
      </c>
      <c r="B235" s="5">
        <v>45751</v>
      </c>
      <c r="C235" s="5" t="str">
        <f t="shared" si="7"/>
        <v>2025</v>
      </c>
      <c r="D235" s="5" t="str">
        <f t="shared" si="6"/>
        <v>April</v>
      </c>
      <c r="E235" t="s">
        <v>291</v>
      </c>
      <c r="F235" t="s">
        <v>205</v>
      </c>
      <c r="G235" t="s">
        <v>37</v>
      </c>
      <c r="H235">
        <v>39</v>
      </c>
      <c r="I235" t="s">
        <v>46</v>
      </c>
      <c r="J235" t="s">
        <v>25</v>
      </c>
      <c r="K235" t="s">
        <v>26</v>
      </c>
      <c r="L235" t="s">
        <v>89</v>
      </c>
      <c r="M235" t="s">
        <v>90</v>
      </c>
      <c r="N235" t="s">
        <v>242</v>
      </c>
      <c r="O235">
        <v>1</v>
      </c>
      <c r="P235">
        <v>6000</v>
      </c>
      <c r="Q235">
        <v>5</v>
      </c>
      <c r="R235">
        <v>5700</v>
      </c>
      <c r="S235">
        <v>889.34</v>
      </c>
      <c r="T235" t="s">
        <v>81</v>
      </c>
      <c r="U235" t="s">
        <v>51</v>
      </c>
      <c r="V235" t="s">
        <v>32</v>
      </c>
    </row>
    <row r="236" spans="1:22" x14ac:dyDescent="0.35">
      <c r="A236" t="s">
        <v>746</v>
      </c>
      <c r="B236" s="5">
        <v>45723</v>
      </c>
      <c r="C236" s="5" t="str">
        <f t="shared" si="7"/>
        <v>2025</v>
      </c>
      <c r="D236" s="5" t="str">
        <f t="shared" si="6"/>
        <v>March</v>
      </c>
      <c r="E236" t="s">
        <v>488</v>
      </c>
      <c r="F236" t="s">
        <v>230</v>
      </c>
      <c r="G236" t="s">
        <v>23</v>
      </c>
      <c r="H236">
        <v>47</v>
      </c>
      <c r="I236" t="s">
        <v>57</v>
      </c>
      <c r="J236" t="s">
        <v>57</v>
      </c>
      <c r="K236" t="s">
        <v>58</v>
      </c>
      <c r="L236" t="s">
        <v>78</v>
      </c>
      <c r="M236" t="s">
        <v>79</v>
      </c>
      <c r="N236" t="s">
        <v>80</v>
      </c>
      <c r="O236">
        <v>2</v>
      </c>
      <c r="P236">
        <v>1800</v>
      </c>
      <c r="Q236">
        <v>10</v>
      </c>
      <c r="R236">
        <v>3240</v>
      </c>
      <c r="S236">
        <v>466.4</v>
      </c>
      <c r="T236" t="s">
        <v>59</v>
      </c>
      <c r="U236" t="s">
        <v>92</v>
      </c>
      <c r="V236" t="s">
        <v>65</v>
      </c>
    </row>
    <row r="237" spans="1:22" x14ac:dyDescent="0.35">
      <c r="A237" t="s">
        <v>747</v>
      </c>
      <c r="B237" s="5">
        <v>45292</v>
      </c>
      <c r="C237" s="5" t="str">
        <f t="shared" si="7"/>
        <v>2024</v>
      </c>
      <c r="D237" s="5" t="str">
        <f t="shared" si="6"/>
        <v>January</v>
      </c>
      <c r="E237" t="s">
        <v>327</v>
      </c>
      <c r="F237" t="s">
        <v>424</v>
      </c>
      <c r="G237" t="s">
        <v>23</v>
      </c>
      <c r="H237">
        <v>45</v>
      </c>
      <c r="I237" t="s">
        <v>24</v>
      </c>
      <c r="J237" t="s">
        <v>25</v>
      </c>
      <c r="K237" t="s">
        <v>26</v>
      </c>
      <c r="L237" t="s">
        <v>27</v>
      </c>
      <c r="M237" t="s">
        <v>28</v>
      </c>
      <c r="N237" t="s">
        <v>140</v>
      </c>
      <c r="O237">
        <v>5</v>
      </c>
      <c r="P237">
        <v>65000</v>
      </c>
      <c r="Q237">
        <v>10</v>
      </c>
      <c r="R237">
        <v>292500</v>
      </c>
      <c r="S237">
        <v>61286.96</v>
      </c>
      <c r="T237" t="s">
        <v>81</v>
      </c>
      <c r="U237" t="s">
        <v>31</v>
      </c>
      <c r="V237" t="s">
        <v>60</v>
      </c>
    </row>
    <row r="238" spans="1:22" x14ac:dyDescent="0.35">
      <c r="A238" t="s">
        <v>749</v>
      </c>
      <c r="B238" s="5">
        <v>45813</v>
      </c>
      <c r="C238" s="5" t="str">
        <f t="shared" si="7"/>
        <v>2025</v>
      </c>
      <c r="D238" s="5" t="str">
        <f t="shared" si="6"/>
        <v>June</v>
      </c>
      <c r="E238" t="s">
        <v>159</v>
      </c>
      <c r="F238" t="s">
        <v>457</v>
      </c>
      <c r="G238" t="s">
        <v>37</v>
      </c>
      <c r="H238">
        <v>38</v>
      </c>
      <c r="I238" t="s">
        <v>98</v>
      </c>
      <c r="J238" t="s">
        <v>99</v>
      </c>
      <c r="K238" t="s">
        <v>100</v>
      </c>
      <c r="L238" t="s">
        <v>78</v>
      </c>
      <c r="M238" t="s">
        <v>79</v>
      </c>
      <c r="N238" t="s">
        <v>80</v>
      </c>
      <c r="O238">
        <v>2</v>
      </c>
      <c r="P238">
        <v>1800</v>
      </c>
      <c r="Q238">
        <v>20</v>
      </c>
      <c r="R238">
        <v>2880</v>
      </c>
      <c r="S238">
        <v>366.27</v>
      </c>
      <c r="T238" t="s">
        <v>50</v>
      </c>
      <c r="U238" t="s">
        <v>51</v>
      </c>
      <c r="V238" t="s">
        <v>117</v>
      </c>
    </row>
    <row r="239" spans="1:22" x14ac:dyDescent="0.35">
      <c r="A239" t="s">
        <v>750</v>
      </c>
      <c r="B239" s="5">
        <v>45336</v>
      </c>
      <c r="C239" s="5" t="str">
        <f t="shared" si="7"/>
        <v>2024</v>
      </c>
      <c r="D239" s="5" t="str">
        <f t="shared" si="6"/>
        <v>February</v>
      </c>
      <c r="E239" t="s">
        <v>108</v>
      </c>
      <c r="F239" t="s">
        <v>752</v>
      </c>
      <c r="G239" t="s">
        <v>23</v>
      </c>
      <c r="H239">
        <v>43</v>
      </c>
      <c r="I239" t="s">
        <v>114</v>
      </c>
      <c r="J239" t="s">
        <v>115</v>
      </c>
      <c r="K239" t="s">
        <v>88</v>
      </c>
      <c r="L239" t="s">
        <v>47</v>
      </c>
      <c r="M239" t="s">
        <v>48</v>
      </c>
      <c r="N239" t="s">
        <v>49</v>
      </c>
      <c r="O239">
        <v>3</v>
      </c>
      <c r="P239">
        <v>150</v>
      </c>
      <c r="Q239">
        <v>10</v>
      </c>
      <c r="R239">
        <v>405</v>
      </c>
      <c r="S239">
        <v>39.909999999999997</v>
      </c>
      <c r="T239" t="s">
        <v>59</v>
      </c>
      <c r="U239" t="s">
        <v>92</v>
      </c>
      <c r="V239" t="s">
        <v>65</v>
      </c>
    </row>
    <row r="240" spans="1:22" x14ac:dyDescent="0.35">
      <c r="A240" t="s">
        <v>753</v>
      </c>
      <c r="B240" s="5">
        <v>45366</v>
      </c>
      <c r="C240" s="5" t="str">
        <f t="shared" si="7"/>
        <v>2024</v>
      </c>
      <c r="D240" s="5" t="str">
        <f t="shared" si="6"/>
        <v>March</v>
      </c>
      <c r="E240" t="s">
        <v>754</v>
      </c>
      <c r="F240" t="s">
        <v>514</v>
      </c>
      <c r="G240" t="s">
        <v>37</v>
      </c>
      <c r="H240">
        <v>37</v>
      </c>
      <c r="I240" t="s">
        <v>38</v>
      </c>
      <c r="J240" t="s">
        <v>39</v>
      </c>
      <c r="K240" t="s">
        <v>26</v>
      </c>
      <c r="L240" t="s">
        <v>27</v>
      </c>
      <c r="M240" t="s">
        <v>28</v>
      </c>
      <c r="N240" t="s">
        <v>73</v>
      </c>
      <c r="O240">
        <v>3</v>
      </c>
      <c r="P240">
        <v>25000</v>
      </c>
      <c r="Q240">
        <v>20</v>
      </c>
      <c r="R240">
        <v>60000</v>
      </c>
      <c r="S240">
        <v>16081.53</v>
      </c>
      <c r="T240" t="s">
        <v>59</v>
      </c>
      <c r="U240" t="s">
        <v>51</v>
      </c>
      <c r="V240" t="s">
        <v>117</v>
      </c>
    </row>
    <row r="241" spans="1:22" x14ac:dyDescent="0.35">
      <c r="A241" t="s">
        <v>755</v>
      </c>
      <c r="B241" s="5">
        <v>45729</v>
      </c>
      <c r="C241" s="5" t="str">
        <f t="shared" si="7"/>
        <v>2025</v>
      </c>
      <c r="D241" s="5" t="str">
        <f t="shared" si="6"/>
        <v>March</v>
      </c>
      <c r="E241" t="s">
        <v>542</v>
      </c>
      <c r="F241" t="s">
        <v>413</v>
      </c>
      <c r="G241" t="s">
        <v>37</v>
      </c>
      <c r="H241">
        <v>47</v>
      </c>
      <c r="I241" t="s">
        <v>86</v>
      </c>
      <c r="J241" t="s">
        <v>87</v>
      </c>
      <c r="K241" t="s">
        <v>88</v>
      </c>
      <c r="L241" t="s">
        <v>78</v>
      </c>
      <c r="M241" t="s">
        <v>79</v>
      </c>
      <c r="N241" t="s">
        <v>101</v>
      </c>
      <c r="O241">
        <v>3</v>
      </c>
      <c r="P241">
        <v>3500</v>
      </c>
      <c r="Q241">
        <v>10</v>
      </c>
      <c r="R241">
        <v>9450</v>
      </c>
      <c r="S241">
        <v>2468.4699999999998</v>
      </c>
      <c r="T241" t="s">
        <v>59</v>
      </c>
      <c r="U241" t="s">
        <v>51</v>
      </c>
      <c r="V241" t="s">
        <v>65</v>
      </c>
    </row>
    <row r="242" spans="1:22" x14ac:dyDescent="0.35">
      <c r="A242" t="s">
        <v>756</v>
      </c>
      <c r="B242" s="5">
        <v>45511</v>
      </c>
      <c r="C242" s="5" t="str">
        <f t="shared" si="7"/>
        <v>2024</v>
      </c>
      <c r="D242" s="5" t="str">
        <f t="shared" si="6"/>
        <v>August</v>
      </c>
      <c r="E242" t="s">
        <v>758</v>
      </c>
      <c r="F242" t="s">
        <v>193</v>
      </c>
      <c r="G242" t="s">
        <v>37</v>
      </c>
      <c r="H242">
        <v>59</v>
      </c>
      <c r="I242" t="s">
        <v>38</v>
      </c>
      <c r="J242" t="s">
        <v>39</v>
      </c>
      <c r="K242" t="s">
        <v>26</v>
      </c>
      <c r="L242" t="s">
        <v>78</v>
      </c>
      <c r="M242" t="s">
        <v>79</v>
      </c>
      <c r="N242" t="s">
        <v>156</v>
      </c>
      <c r="O242">
        <v>5</v>
      </c>
      <c r="P242">
        <v>800</v>
      </c>
      <c r="Q242">
        <v>10</v>
      </c>
      <c r="R242">
        <v>3600</v>
      </c>
      <c r="S242">
        <v>770.56</v>
      </c>
      <c r="T242" t="s">
        <v>41</v>
      </c>
      <c r="U242" t="s">
        <v>51</v>
      </c>
      <c r="V242" t="s">
        <v>32</v>
      </c>
    </row>
    <row r="243" spans="1:22" x14ac:dyDescent="0.35">
      <c r="A243" t="s">
        <v>759</v>
      </c>
      <c r="B243" s="5">
        <v>45667</v>
      </c>
      <c r="C243" s="5" t="str">
        <f t="shared" si="7"/>
        <v>2025</v>
      </c>
      <c r="D243" s="5" t="str">
        <f t="shared" si="6"/>
        <v>January</v>
      </c>
      <c r="E243" t="s">
        <v>760</v>
      </c>
      <c r="F243" t="s">
        <v>132</v>
      </c>
      <c r="G243" t="s">
        <v>23</v>
      </c>
      <c r="H243">
        <v>58</v>
      </c>
      <c r="I243" t="s">
        <v>126</v>
      </c>
      <c r="J243" t="s">
        <v>127</v>
      </c>
      <c r="K243" t="s">
        <v>88</v>
      </c>
      <c r="L243" t="s">
        <v>47</v>
      </c>
      <c r="M243" t="s">
        <v>48</v>
      </c>
      <c r="N243" t="s">
        <v>215</v>
      </c>
      <c r="O243">
        <v>5</v>
      </c>
      <c r="P243">
        <v>450</v>
      </c>
      <c r="Q243">
        <v>5</v>
      </c>
      <c r="R243">
        <v>2137.5</v>
      </c>
      <c r="S243">
        <v>588.71</v>
      </c>
      <c r="T243" t="s">
        <v>41</v>
      </c>
      <c r="U243" t="s">
        <v>31</v>
      </c>
      <c r="V243" t="s">
        <v>117</v>
      </c>
    </row>
    <row r="244" spans="1:22" x14ac:dyDescent="0.35">
      <c r="A244" t="s">
        <v>761</v>
      </c>
      <c r="B244" s="5">
        <v>45368</v>
      </c>
      <c r="C244" s="5" t="str">
        <f t="shared" si="7"/>
        <v>2024</v>
      </c>
      <c r="D244" s="5" t="str">
        <f t="shared" si="6"/>
        <v>March</v>
      </c>
      <c r="E244" t="s">
        <v>260</v>
      </c>
      <c r="F244" t="s">
        <v>365</v>
      </c>
      <c r="G244" t="s">
        <v>23</v>
      </c>
      <c r="H244">
        <v>33</v>
      </c>
      <c r="I244" t="s">
        <v>114</v>
      </c>
      <c r="J244" t="s">
        <v>115</v>
      </c>
      <c r="K244" t="s">
        <v>88</v>
      </c>
      <c r="L244" t="s">
        <v>78</v>
      </c>
      <c r="M244" t="s">
        <v>79</v>
      </c>
      <c r="N244" t="s">
        <v>156</v>
      </c>
      <c r="O244">
        <v>4</v>
      </c>
      <c r="P244">
        <v>800</v>
      </c>
      <c r="Q244">
        <v>10</v>
      </c>
      <c r="R244">
        <v>2880</v>
      </c>
      <c r="S244">
        <v>799.28</v>
      </c>
      <c r="T244" t="s">
        <v>81</v>
      </c>
      <c r="U244" t="s">
        <v>51</v>
      </c>
      <c r="V244" t="s">
        <v>32</v>
      </c>
    </row>
    <row r="245" spans="1:22" x14ac:dyDescent="0.35">
      <c r="A245" t="s">
        <v>762</v>
      </c>
      <c r="B245" s="5">
        <v>45368</v>
      </c>
      <c r="C245" s="5" t="str">
        <f t="shared" si="7"/>
        <v>2024</v>
      </c>
      <c r="D245" s="5" t="str">
        <f t="shared" si="6"/>
        <v>March</v>
      </c>
      <c r="E245" t="s">
        <v>763</v>
      </c>
      <c r="F245" t="s">
        <v>764</v>
      </c>
      <c r="G245" t="s">
        <v>37</v>
      </c>
      <c r="H245">
        <v>41</v>
      </c>
      <c r="I245" t="s">
        <v>86</v>
      </c>
      <c r="J245" t="s">
        <v>87</v>
      </c>
      <c r="K245" t="s">
        <v>88</v>
      </c>
      <c r="L245" t="s">
        <v>89</v>
      </c>
      <c r="M245" t="s">
        <v>90</v>
      </c>
      <c r="N245" t="s">
        <v>128</v>
      </c>
      <c r="O245">
        <v>1</v>
      </c>
      <c r="P245">
        <v>7000</v>
      </c>
      <c r="Q245">
        <v>15</v>
      </c>
      <c r="R245">
        <v>5950</v>
      </c>
      <c r="S245">
        <v>1234.8599999999999</v>
      </c>
      <c r="T245" t="s">
        <v>41</v>
      </c>
      <c r="U245" t="s">
        <v>51</v>
      </c>
      <c r="V245" t="s">
        <v>60</v>
      </c>
    </row>
    <row r="246" spans="1:22" x14ac:dyDescent="0.35">
      <c r="A246" t="s">
        <v>765</v>
      </c>
      <c r="B246" s="5">
        <v>45334</v>
      </c>
      <c r="C246" s="5" t="str">
        <f t="shared" si="7"/>
        <v>2024</v>
      </c>
      <c r="D246" s="5" t="str">
        <f t="shared" si="6"/>
        <v>February</v>
      </c>
      <c r="E246" t="s">
        <v>185</v>
      </c>
      <c r="F246" t="s">
        <v>679</v>
      </c>
      <c r="G246" t="s">
        <v>37</v>
      </c>
      <c r="H246">
        <v>30</v>
      </c>
      <c r="I246" t="s">
        <v>57</v>
      </c>
      <c r="J246" t="s">
        <v>57</v>
      </c>
      <c r="K246" t="s">
        <v>58</v>
      </c>
      <c r="L246" t="s">
        <v>27</v>
      </c>
      <c r="M246" t="s">
        <v>28</v>
      </c>
      <c r="N246" t="s">
        <v>73</v>
      </c>
      <c r="O246">
        <v>3</v>
      </c>
      <c r="P246">
        <v>25000</v>
      </c>
      <c r="Q246">
        <v>20</v>
      </c>
      <c r="R246">
        <v>60000</v>
      </c>
      <c r="S246">
        <v>16033.84</v>
      </c>
      <c r="T246" t="s">
        <v>81</v>
      </c>
      <c r="U246" t="s">
        <v>51</v>
      </c>
      <c r="V246" t="s">
        <v>52</v>
      </c>
    </row>
    <row r="247" spans="1:22" x14ac:dyDescent="0.35">
      <c r="A247" t="s">
        <v>766</v>
      </c>
      <c r="B247" s="5">
        <v>45476</v>
      </c>
      <c r="C247" s="5" t="str">
        <f t="shared" si="7"/>
        <v>2024</v>
      </c>
      <c r="D247" s="5" t="str">
        <f t="shared" si="6"/>
        <v>July</v>
      </c>
      <c r="E247" t="s">
        <v>711</v>
      </c>
      <c r="F247" t="s">
        <v>581</v>
      </c>
      <c r="G247" t="s">
        <v>37</v>
      </c>
      <c r="H247">
        <v>37</v>
      </c>
      <c r="I247" t="s">
        <v>57</v>
      </c>
      <c r="J247" t="s">
        <v>57</v>
      </c>
      <c r="K247" t="s">
        <v>58</v>
      </c>
      <c r="L247" t="s">
        <v>27</v>
      </c>
      <c r="M247" t="s">
        <v>28</v>
      </c>
      <c r="N247" t="s">
        <v>140</v>
      </c>
      <c r="O247">
        <v>1</v>
      </c>
      <c r="P247">
        <v>65000</v>
      </c>
      <c r="Q247">
        <v>20</v>
      </c>
      <c r="R247">
        <v>52000</v>
      </c>
      <c r="S247">
        <v>6099.8</v>
      </c>
      <c r="T247" t="s">
        <v>81</v>
      </c>
      <c r="U247" t="s">
        <v>51</v>
      </c>
      <c r="V247" t="s">
        <v>117</v>
      </c>
    </row>
    <row r="248" spans="1:22" x14ac:dyDescent="0.35">
      <c r="A248" t="s">
        <v>768</v>
      </c>
      <c r="B248" s="5">
        <v>45429</v>
      </c>
      <c r="C248" s="5" t="str">
        <f t="shared" si="7"/>
        <v>2024</v>
      </c>
      <c r="D248" s="5" t="str">
        <f t="shared" si="6"/>
        <v>May</v>
      </c>
      <c r="E248" t="s">
        <v>124</v>
      </c>
      <c r="F248" t="s">
        <v>770</v>
      </c>
      <c r="G248" t="s">
        <v>37</v>
      </c>
      <c r="H248">
        <v>33</v>
      </c>
      <c r="I248" t="s">
        <v>38</v>
      </c>
      <c r="J248" t="s">
        <v>39</v>
      </c>
      <c r="K248" t="s">
        <v>26</v>
      </c>
      <c r="L248" t="s">
        <v>27</v>
      </c>
      <c r="M248" t="s">
        <v>28</v>
      </c>
      <c r="N248" t="s">
        <v>40</v>
      </c>
      <c r="O248">
        <v>1</v>
      </c>
      <c r="P248">
        <v>2500</v>
      </c>
      <c r="Q248">
        <v>15</v>
      </c>
      <c r="R248">
        <v>2125</v>
      </c>
      <c r="S248">
        <v>539.4</v>
      </c>
      <c r="T248" t="s">
        <v>41</v>
      </c>
      <c r="U248" t="s">
        <v>92</v>
      </c>
      <c r="V248" t="s">
        <v>93</v>
      </c>
    </row>
    <row r="249" spans="1:22" x14ac:dyDescent="0.35">
      <c r="A249" t="s">
        <v>771</v>
      </c>
      <c r="B249" s="5">
        <v>45322</v>
      </c>
      <c r="C249" s="5" t="str">
        <f t="shared" si="7"/>
        <v>2024</v>
      </c>
      <c r="D249" s="5" t="str">
        <f t="shared" si="6"/>
        <v>January</v>
      </c>
      <c r="E249" t="s">
        <v>773</v>
      </c>
      <c r="F249" t="s">
        <v>774</v>
      </c>
      <c r="G249" t="s">
        <v>23</v>
      </c>
      <c r="H249">
        <v>39</v>
      </c>
      <c r="I249" t="s">
        <v>46</v>
      </c>
      <c r="J249" t="s">
        <v>25</v>
      </c>
      <c r="K249" t="s">
        <v>26</v>
      </c>
      <c r="L249" t="s">
        <v>78</v>
      </c>
      <c r="M249" t="s">
        <v>79</v>
      </c>
      <c r="N249" t="s">
        <v>101</v>
      </c>
      <c r="O249">
        <v>1</v>
      </c>
      <c r="P249">
        <v>3500</v>
      </c>
      <c r="Q249">
        <v>15</v>
      </c>
      <c r="R249">
        <v>2975</v>
      </c>
      <c r="S249">
        <v>630.41</v>
      </c>
      <c r="T249" t="s">
        <v>81</v>
      </c>
      <c r="U249" t="s">
        <v>51</v>
      </c>
      <c r="V249" t="s">
        <v>93</v>
      </c>
    </row>
    <row r="250" spans="1:22" x14ac:dyDescent="0.35">
      <c r="A250" t="s">
        <v>775</v>
      </c>
      <c r="B250" s="5">
        <v>45334</v>
      </c>
      <c r="C250" s="5" t="str">
        <f t="shared" si="7"/>
        <v>2024</v>
      </c>
      <c r="D250" s="5" t="str">
        <f t="shared" si="6"/>
        <v>February</v>
      </c>
      <c r="E250" t="s">
        <v>301</v>
      </c>
      <c r="F250" t="s">
        <v>292</v>
      </c>
      <c r="G250" t="s">
        <v>23</v>
      </c>
      <c r="H250">
        <v>27</v>
      </c>
      <c r="I250" t="s">
        <v>24</v>
      </c>
      <c r="J250" t="s">
        <v>25</v>
      </c>
      <c r="K250" t="s">
        <v>26</v>
      </c>
      <c r="L250" t="s">
        <v>78</v>
      </c>
      <c r="M250" t="s">
        <v>79</v>
      </c>
      <c r="N250" t="s">
        <v>156</v>
      </c>
      <c r="O250">
        <v>3</v>
      </c>
      <c r="P250">
        <v>800</v>
      </c>
      <c r="Q250">
        <v>15</v>
      </c>
      <c r="R250">
        <v>2040</v>
      </c>
      <c r="S250">
        <v>215.95</v>
      </c>
      <c r="T250" t="s">
        <v>81</v>
      </c>
      <c r="U250" t="s">
        <v>92</v>
      </c>
      <c r="V250" t="s">
        <v>65</v>
      </c>
    </row>
    <row r="251" spans="1:22" x14ac:dyDescent="0.35">
      <c r="A251" t="s">
        <v>776</v>
      </c>
      <c r="B251" s="5">
        <v>45774</v>
      </c>
      <c r="C251" s="5" t="str">
        <f t="shared" si="7"/>
        <v>2025</v>
      </c>
      <c r="D251" s="5" t="str">
        <f t="shared" si="6"/>
        <v>April</v>
      </c>
      <c r="E251" t="s">
        <v>486</v>
      </c>
      <c r="F251" t="s">
        <v>577</v>
      </c>
      <c r="G251" t="s">
        <v>37</v>
      </c>
      <c r="H251">
        <v>46</v>
      </c>
      <c r="I251" t="s">
        <v>57</v>
      </c>
      <c r="J251" t="s">
        <v>57</v>
      </c>
      <c r="K251" t="s">
        <v>58</v>
      </c>
      <c r="L251" t="s">
        <v>27</v>
      </c>
      <c r="M251" t="s">
        <v>28</v>
      </c>
      <c r="N251" t="s">
        <v>29</v>
      </c>
      <c r="O251">
        <v>4</v>
      </c>
      <c r="P251">
        <v>12000</v>
      </c>
      <c r="Q251">
        <v>10</v>
      </c>
      <c r="R251">
        <v>43200</v>
      </c>
      <c r="S251">
        <v>10787.54</v>
      </c>
      <c r="T251" t="s">
        <v>50</v>
      </c>
      <c r="U251" t="s">
        <v>51</v>
      </c>
      <c r="V251" t="s">
        <v>52</v>
      </c>
    </row>
    <row r="252" spans="1:22" x14ac:dyDescent="0.35">
      <c r="A252" t="s">
        <v>777</v>
      </c>
      <c r="B252" s="5">
        <v>45520</v>
      </c>
      <c r="C252" s="5" t="str">
        <f t="shared" si="7"/>
        <v>2024</v>
      </c>
      <c r="D252" s="5" t="str">
        <f t="shared" si="6"/>
        <v>August</v>
      </c>
      <c r="E252" t="s">
        <v>316</v>
      </c>
      <c r="F252" t="s">
        <v>449</v>
      </c>
      <c r="G252" t="s">
        <v>23</v>
      </c>
      <c r="H252">
        <v>54</v>
      </c>
      <c r="I252" t="s">
        <v>98</v>
      </c>
      <c r="J252" t="s">
        <v>99</v>
      </c>
      <c r="K252" t="s">
        <v>100</v>
      </c>
      <c r="L252" t="s">
        <v>78</v>
      </c>
      <c r="M252" t="s">
        <v>79</v>
      </c>
      <c r="N252" t="s">
        <v>80</v>
      </c>
      <c r="O252">
        <v>4</v>
      </c>
      <c r="P252">
        <v>1800</v>
      </c>
      <c r="Q252">
        <v>20</v>
      </c>
      <c r="R252">
        <v>5760</v>
      </c>
      <c r="S252">
        <v>790.5</v>
      </c>
      <c r="T252" t="s">
        <v>41</v>
      </c>
      <c r="U252" t="s">
        <v>51</v>
      </c>
      <c r="V252" t="s">
        <v>93</v>
      </c>
    </row>
    <row r="253" spans="1:22" x14ac:dyDescent="0.35">
      <c r="A253" t="s">
        <v>778</v>
      </c>
      <c r="B253" s="5">
        <v>45327</v>
      </c>
      <c r="C253" s="5" t="str">
        <f t="shared" si="7"/>
        <v>2024</v>
      </c>
      <c r="D253" s="5" t="str">
        <f t="shared" si="6"/>
        <v>February</v>
      </c>
      <c r="E253" t="s">
        <v>488</v>
      </c>
      <c r="F253" t="s">
        <v>253</v>
      </c>
      <c r="G253" t="s">
        <v>23</v>
      </c>
      <c r="H253">
        <v>27</v>
      </c>
      <c r="I253" t="s">
        <v>57</v>
      </c>
      <c r="J253" t="s">
        <v>57</v>
      </c>
      <c r="K253" t="s">
        <v>58</v>
      </c>
      <c r="L253" t="s">
        <v>27</v>
      </c>
      <c r="M253" t="s">
        <v>28</v>
      </c>
      <c r="N253" t="s">
        <v>140</v>
      </c>
      <c r="O253">
        <v>2</v>
      </c>
      <c r="P253">
        <v>65000</v>
      </c>
      <c r="Q253">
        <v>5</v>
      </c>
      <c r="R253">
        <v>123500</v>
      </c>
      <c r="S253">
        <v>27050.7</v>
      </c>
      <c r="T253" t="s">
        <v>81</v>
      </c>
      <c r="U253" t="s">
        <v>51</v>
      </c>
      <c r="V253" t="s">
        <v>60</v>
      </c>
    </row>
    <row r="254" spans="1:22" x14ac:dyDescent="0.35">
      <c r="A254" t="s">
        <v>780</v>
      </c>
      <c r="B254" s="5">
        <v>45671</v>
      </c>
      <c r="C254" s="5" t="str">
        <f t="shared" si="7"/>
        <v>2025</v>
      </c>
      <c r="D254" s="5" t="str">
        <f t="shared" si="6"/>
        <v>January</v>
      </c>
      <c r="E254" t="s">
        <v>513</v>
      </c>
      <c r="F254" t="s">
        <v>677</v>
      </c>
      <c r="G254" t="s">
        <v>23</v>
      </c>
      <c r="H254">
        <v>55</v>
      </c>
      <c r="I254" t="s">
        <v>57</v>
      </c>
      <c r="J254" t="s">
        <v>57</v>
      </c>
      <c r="K254" t="s">
        <v>58</v>
      </c>
      <c r="L254" t="s">
        <v>78</v>
      </c>
      <c r="M254" t="s">
        <v>79</v>
      </c>
      <c r="N254" t="s">
        <v>156</v>
      </c>
      <c r="O254">
        <v>3</v>
      </c>
      <c r="P254">
        <v>800</v>
      </c>
      <c r="Q254">
        <v>20</v>
      </c>
      <c r="R254">
        <v>1920</v>
      </c>
      <c r="S254">
        <v>459.94</v>
      </c>
      <c r="T254" t="s">
        <v>41</v>
      </c>
      <c r="U254" t="s">
        <v>51</v>
      </c>
      <c r="V254" t="s">
        <v>60</v>
      </c>
    </row>
    <row r="255" spans="1:22" x14ac:dyDescent="0.35">
      <c r="A255" t="s">
        <v>781</v>
      </c>
      <c r="B255" s="5">
        <v>45587</v>
      </c>
      <c r="C255" s="5" t="str">
        <f t="shared" si="7"/>
        <v>2024</v>
      </c>
      <c r="D255" s="5" t="str">
        <f t="shared" si="6"/>
        <v>October</v>
      </c>
      <c r="E255" t="s">
        <v>281</v>
      </c>
      <c r="F255" t="s">
        <v>413</v>
      </c>
      <c r="G255" t="s">
        <v>37</v>
      </c>
      <c r="H255">
        <v>27</v>
      </c>
      <c r="I255" t="s">
        <v>38</v>
      </c>
      <c r="J255" t="s">
        <v>39</v>
      </c>
      <c r="K255" t="s">
        <v>26</v>
      </c>
      <c r="L255" t="s">
        <v>27</v>
      </c>
      <c r="M255" t="s">
        <v>28</v>
      </c>
      <c r="N255" t="s">
        <v>73</v>
      </c>
      <c r="O255">
        <v>3</v>
      </c>
      <c r="P255">
        <v>25000</v>
      </c>
      <c r="Q255">
        <v>10</v>
      </c>
      <c r="R255">
        <v>67500</v>
      </c>
      <c r="S255">
        <v>13668.61</v>
      </c>
      <c r="T255" t="s">
        <v>81</v>
      </c>
      <c r="U255" t="s">
        <v>51</v>
      </c>
      <c r="V255" t="s">
        <v>60</v>
      </c>
    </row>
    <row r="256" spans="1:22" x14ac:dyDescent="0.35">
      <c r="A256" t="s">
        <v>782</v>
      </c>
      <c r="B256" s="5">
        <v>45369</v>
      </c>
      <c r="C256" s="5" t="str">
        <f t="shared" si="7"/>
        <v>2024</v>
      </c>
      <c r="D256" s="5" t="str">
        <f t="shared" si="6"/>
        <v>March</v>
      </c>
      <c r="E256" t="s">
        <v>260</v>
      </c>
      <c r="F256" t="s">
        <v>457</v>
      </c>
      <c r="G256" t="s">
        <v>37</v>
      </c>
      <c r="H256">
        <v>29</v>
      </c>
      <c r="I256" t="s">
        <v>46</v>
      </c>
      <c r="J256" t="s">
        <v>25</v>
      </c>
      <c r="K256" t="s">
        <v>26</v>
      </c>
      <c r="L256" t="s">
        <v>78</v>
      </c>
      <c r="M256" t="s">
        <v>79</v>
      </c>
      <c r="N256" t="s">
        <v>156</v>
      </c>
      <c r="O256">
        <v>1</v>
      </c>
      <c r="P256">
        <v>800</v>
      </c>
      <c r="Q256">
        <v>20</v>
      </c>
      <c r="R256">
        <v>640</v>
      </c>
      <c r="S256">
        <v>92.69</v>
      </c>
      <c r="T256" t="s">
        <v>81</v>
      </c>
      <c r="U256" t="s">
        <v>31</v>
      </c>
      <c r="V256" t="s">
        <v>93</v>
      </c>
    </row>
    <row r="257" spans="1:22" x14ac:dyDescent="0.35">
      <c r="A257" t="s">
        <v>784</v>
      </c>
      <c r="B257" s="5">
        <v>45505</v>
      </c>
      <c r="C257" s="5" t="str">
        <f t="shared" si="7"/>
        <v>2024</v>
      </c>
      <c r="D257" s="5" t="str">
        <f t="shared" si="6"/>
        <v>August</v>
      </c>
      <c r="E257" t="s">
        <v>773</v>
      </c>
      <c r="F257" t="s">
        <v>786</v>
      </c>
      <c r="G257" t="s">
        <v>23</v>
      </c>
      <c r="H257">
        <v>22</v>
      </c>
      <c r="I257" t="s">
        <v>98</v>
      </c>
      <c r="J257" t="s">
        <v>99</v>
      </c>
      <c r="K257" t="s">
        <v>100</v>
      </c>
      <c r="L257" t="s">
        <v>78</v>
      </c>
      <c r="M257" t="s">
        <v>79</v>
      </c>
      <c r="N257" t="s">
        <v>101</v>
      </c>
      <c r="O257">
        <v>3</v>
      </c>
      <c r="P257">
        <v>3500</v>
      </c>
      <c r="Q257">
        <v>10</v>
      </c>
      <c r="R257">
        <v>9450</v>
      </c>
      <c r="S257">
        <v>1673.9</v>
      </c>
      <c r="T257" t="s">
        <v>81</v>
      </c>
      <c r="U257" t="s">
        <v>92</v>
      </c>
      <c r="V257" t="s">
        <v>32</v>
      </c>
    </row>
    <row r="258" spans="1:22" x14ac:dyDescent="0.35">
      <c r="A258" t="s">
        <v>787</v>
      </c>
      <c r="B258" s="5">
        <v>45689</v>
      </c>
      <c r="C258" s="5" t="str">
        <f t="shared" si="7"/>
        <v>2025</v>
      </c>
      <c r="D258" s="5" t="str">
        <f t="shared" ref="D258:D321" si="8">TEXT(B258,"mmmm")</f>
        <v>February</v>
      </c>
      <c r="E258" t="s">
        <v>361</v>
      </c>
      <c r="F258" t="s">
        <v>477</v>
      </c>
      <c r="G258" t="s">
        <v>23</v>
      </c>
      <c r="H258">
        <v>33</v>
      </c>
      <c r="I258" t="s">
        <v>24</v>
      </c>
      <c r="J258" t="s">
        <v>25</v>
      </c>
      <c r="K258" t="s">
        <v>26</v>
      </c>
      <c r="L258" t="s">
        <v>78</v>
      </c>
      <c r="M258" t="s">
        <v>79</v>
      </c>
      <c r="N258" t="s">
        <v>80</v>
      </c>
      <c r="O258">
        <v>1</v>
      </c>
      <c r="P258">
        <v>1800</v>
      </c>
      <c r="Q258">
        <v>0</v>
      </c>
      <c r="R258">
        <v>1800</v>
      </c>
      <c r="S258">
        <v>489.9</v>
      </c>
      <c r="T258" t="s">
        <v>81</v>
      </c>
      <c r="U258" t="s">
        <v>51</v>
      </c>
      <c r="V258" t="s">
        <v>117</v>
      </c>
    </row>
    <row r="259" spans="1:22" x14ac:dyDescent="0.35">
      <c r="A259" t="s">
        <v>788</v>
      </c>
      <c r="B259" s="5">
        <v>45488</v>
      </c>
      <c r="C259" s="5" t="str">
        <f t="shared" ref="C259:C322" si="9">TEXT(B259,"YYYY")</f>
        <v>2024</v>
      </c>
      <c r="D259" s="5" t="str">
        <f t="shared" si="8"/>
        <v>July</v>
      </c>
      <c r="E259" t="s">
        <v>84</v>
      </c>
      <c r="F259" t="s">
        <v>790</v>
      </c>
      <c r="G259" t="s">
        <v>23</v>
      </c>
      <c r="H259">
        <v>54</v>
      </c>
      <c r="I259" t="s">
        <v>57</v>
      </c>
      <c r="J259" t="s">
        <v>57</v>
      </c>
      <c r="K259" t="s">
        <v>58</v>
      </c>
      <c r="L259" t="s">
        <v>47</v>
      </c>
      <c r="M259" t="s">
        <v>48</v>
      </c>
      <c r="N259" t="s">
        <v>49</v>
      </c>
      <c r="O259">
        <v>1</v>
      </c>
      <c r="P259">
        <v>150</v>
      </c>
      <c r="Q259">
        <v>20</v>
      </c>
      <c r="R259">
        <v>120</v>
      </c>
      <c r="S259">
        <v>33.14</v>
      </c>
      <c r="T259" t="s">
        <v>59</v>
      </c>
      <c r="U259" t="s">
        <v>51</v>
      </c>
      <c r="V259" t="s">
        <v>52</v>
      </c>
    </row>
    <row r="260" spans="1:22" x14ac:dyDescent="0.35">
      <c r="A260" t="s">
        <v>791</v>
      </c>
      <c r="B260" s="5">
        <v>45756</v>
      </c>
      <c r="C260" s="5" t="str">
        <f t="shared" si="9"/>
        <v>2025</v>
      </c>
      <c r="D260" s="5" t="str">
        <f t="shared" si="8"/>
        <v>April</v>
      </c>
      <c r="E260" t="s">
        <v>793</v>
      </c>
      <c r="F260" t="s">
        <v>36</v>
      </c>
      <c r="G260" t="s">
        <v>37</v>
      </c>
      <c r="H260">
        <v>23</v>
      </c>
      <c r="I260" t="s">
        <v>46</v>
      </c>
      <c r="J260" t="s">
        <v>25</v>
      </c>
      <c r="K260" t="s">
        <v>26</v>
      </c>
      <c r="L260" t="s">
        <v>27</v>
      </c>
      <c r="M260" t="s">
        <v>28</v>
      </c>
      <c r="N260" t="s">
        <v>73</v>
      </c>
      <c r="O260">
        <v>4</v>
      </c>
      <c r="P260">
        <v>25000</v>
      </c>
      <c r="Q260">
        <v>10</v>
      </c>
      <c r="R260">
        <v>90000</v>
      </c>
      <c r="S260">
        <v>21287.11</v>
      </c>
      <c r="T260" t="s">
        <v>50</v>
      </c>
      <c r="U260" t="s">
        <v>51</v>
      </c>
      <c r="V260" t="s">
        <v>65</v>
      </c>
    </row>
    <row r="261" spans="1:22" x14ac:dyDescent="0.35">
      <c r="A261" t="s">
        <v>794</v>
      </c>
      <c r="B261" s="5">
        <v>45731</v>
      </c>
      <c r="C261" s="5" t="str">
        <f t="shared" si="9"/>
        <v>2025</v>
      </c>
      <c r="D261" s="5" t="str">
        <f t="shared" si="8"/>
        <v>March</v>
      </c>
      <c r="E261" t="s">
        <v>256</v>
      </c>
      <c r="F261" t="s">
        <v>566</v>
      </c>
      <c r="G261" t="s">
        <v>37</v>
      </c>
      <c r="H261">
        <v>24</v>
      </c>
      <c r="I261" t="s">
        <v>24</v>
      </c>
      <c r="J261" t="s">
        <v>25</v>
      </c>
      <c r="K261" t="s">
        <v>26</v>
      </c>
      <c r="L261" t="s">
        <v>47</v>
      </c>
      <c r="M261" t="s">
        <v>48</v>
      </c>
      <c r="N261" t="s">
        <v>49</v>
      </c>
      <c r="O261">
        <v>4</v>
      </c>
      <c r="P261">
        <v>150</v>
      </c>
      <c r="Q261">
        <v>0</v>
      </c>
      <c r="R261">
        <v>600</v>
      </c>
      <c r="S261">
        <v>56.06</v>
      </c>
      <c r="T261" t="s">
        <v>59</v>
      </c>
      <c r="U261" t="s">
        <v>31</v>
      </c>
      <c r="V261" t="s">
        <v>60</v>
      </c>
    </row>
    <row r="262" spans="1:22" x14ac:dyDescent="0.35">
      <c r="A262" t="s">
        <v>795</v>
      </c>
      <c r="B262" s="5">
        <v>45466</v>
      </c>
      <c r="C262" s="5" t="str">
        <f t="shared" si="9"/>
        <v>2024</v>
      </c>
      <c r="D262" s="5" t="str">
        <f t="shared" si="8"/>
        <v>June</v>
      </c>
      <c r="E262" t="s">
        <v>167</v>
      </c>
      <c r="F262" t="s">
        <v>797</v>
      </c>
      <c r="G262" t="s">
        <v>37</v>
      </c>
      <c r="H262">
        <v>60</v>
      </c>
      <c r="I262" t="s">
        <v>98</v>
      </c>
      <c r="J262" t="s">
        <v>99</v>
      </c>
      <c r="K262" t="s">
        <v>100</v>
      </c>
      <c r="L262" t="s">
        <v>89</v>
      </c>
      <c r="M262" t="s">
        <v>90</v>
      </c>
      <c r="N262" t="s">
        <v>91</v>
      </c>
      <c r="O262">
        <v>4</v>
      </c>
      <c r="P262">
        <v>9000</v>
      </c>
      <c r="Q262">
        <v>5</v>
      </c>
      <c r="R262">
        <v>34200</v>
      </c>
      <c r="S262">
        <v>6906.99</v>
      </c>
      <c r="T262" t="s">
        <v>81</v>
      </c>
      <c r="U262" t="s">
        <v>31</v>
      </c>
      <c r="V262" t="s">
        <v>65</v>
      </c>
    </row>
    <row r="263" spans="1:22" x14ac:dyDescent="0.35">
      <c r="A263" t="s">
        <v>798</v>
      </c>
      <c r="B263" s="5">
        <v>45774</v>
      </c>
      <c r="C263" s="5" t="str">
        <f t="shared" si="9"/>
        <v>2025</v>
      </c>
      <c r="D263" s="5" t="str">
        <f t="shared" si="8"/>
        <v>April</v>
      </c>
      <c r="E263" t="s">
        <v>587</v>
      </c>
      <c r="F263" t="s">
        <v>238</v>
      </c>
      <c r="G263" t="s">
        <v>37</v>
      </c>
      <c r="H263">
        <v>48</v>
      </c>
      <c r="I263" t="s">
        <v>57</v>
      </c>
      <c r="J263" t="s">
        <v>57</v>
      </c>
      <c r="K263" t="s">
        <v>58</v>
      </c>
      <c r="L263" t="s">
        <v>47</v>
      </c>
      <c r="M263" t="s">
        <v>48</v>
      </c>
      <c r="N263" t="s">
        <v>49</v>
      </c>
      <c r="O263">
        <v>2</v>
      </c>
      <c r="P263">
        <v>150</v>
      </c>
      <c r="Q263">
        <v>0</v>
      </c>
      <c r="R263">
        <v>300</v>
      </c>
      <c r="S263">
        <v>31.88</v>
      </c>
      <c r="T263" t="s">
        <v>59</v>
      </c>
      <c r="U263" t="s">
        <v>92</v>
      </c>
      <c r="V263" t="s">
        <v>93</v>
      </c>
    </row>
    <row r="264" spans="1:22" x14ac:dyDescent="0.35">
      <c r="A264" t="s">
        <v>799</v>
      </c>
      <c r="B264" s="5">
        <v>45422</v>
      </c>
      <c r="C264" s="5" t="str">
        <f t="shared" si="9"/>
        <v>2024</v>
      </c>
      <c r="D264" s="5" t="str">
        <f t="shared" si="8"/>
        <v>May</v>
      </c>
      <c r="E264" t="s">
        <v>436</v>
      </c>
      <c r="F264" t="s">
        <v>190</v>
      </c>
      <c r="G264" t="s">
        <v>23</v>
      </c>
      <c r="H264">
        <v>31</v>
      </c>
      <c r="I264" t="s">
        <v>38</v>
      </c>
      <c r="J264" t="s">
        <v>39</v>
      </c>
      <c r="K264" t="s">
        <v>26</v>
      </c>
      <c r="L264" t="s">
        <v>78</v>
      </c>
      <c r="M264" t="s">
        <v>79</v>
      </c>
      <c r="N264" t="s">
        <v>80</v>
      </c>
      <c r="O264">
        <v>1</v>
      </c>
      <c r="P264">
        <v>1800</v>
      </c>
      <c r="Q264">
        <v>0</v>
      </c>
      <c r="R264">
        <v>1800</v>
      </c>
      <c r="S264">
        <v>149.59</v>
      </c>
      <c r="T264" t="s">
        <v>50</v>
      </c>
      <c r="U264" t="s">
        <v>51</v>
      </c>
      <c r="V264" t="s">
        <v>93</v>
      </c>
    </row>
    <row r="265" spans="1:22" x14ac:dyDescent="0.35">
      <c r="A265" t="s">
        <v>800</v>
      </c>
      <c r="B265" s="5">
        <v>45514</v>
      </c>
      <c r="C265" s="5" t="str">
        <f t="shared" si="9"/>
        <v>2024</v>
      </c>
      <c r="D265" s="5" t="str">
        <f t="shared" si="8"/>
        <v>August</v>
      </c>
      <c r="E265" t="s">
        <v>327</v>
      </c>
      <c r="F265" t="s">
        <v>801</v>
      </c>
      <c r="G265" t="s">
        <v>37</v>
      </c>
      <c r="H265">
        <v>52</v>
      </c>
      <c r="I265" t="s">
        <v>24</v>
      </c>
      <c r="J265" t="s">
        <v>25</v>
      </c>
      <c r="K265" t="s">
        <v>26</v>
      </c>
      <c r="L265" t="s">
        <v>78</v>
      </c>
      <c r="M265" t="s">
        <v>79</v>
      </c>
      <c r="N265" t="s">
        <v>101</v>
      </c>
      <c r="O265">
        <v>3</v>
      </c>
      <c r="P265">
        <v>3500</v>
      </c>
      <c r="Q265">
        <v>10</v>
      </c>
      <c r="R265">
        <v>9450</v>
      </c>
      <c r="S265">
        <v>855.38</v>
      </c>
      <c r="T265" t="s">
        <v>81</v>
      </c>
      <c r="U265" t="s">
        <v>92</v>
      </c>
      <c r="V265" t="s">
        <v>117</v>
      </c>
    </row>
    <row r="266" spans="1:22" x14ac:dyDescent="0.35">
      <c r="A266" t="s">
        <v>802</v>
      </c>
      <c r="B266" s="5">
        <v>45579</v>
      </c>
      <c r="C266" s="5" t="str">
        <f t="shared" si="9"/>
        <v>2024</v>
      </c>
      <c r="D266" s="5" t="str">
        <f t="shared" si="8"/>
        <v>October</v>
      </c>
      <c r="E266" t="s">
        <v>464</v>
      </c>
      <c r="F266" t="s">
        <v>175</v>
      </c>
      <c r="G266" t="s">
        <v>23</v>
      </c>
      <c r="H266">
        <v>59</v>
      </c>
      <c r="I266" t="s">
        <v>86</v>
      </c>
      <c r="J266" t="s">
        <v>87</v>
      </c>
      <c r="K266" t="s">
        <v>88</v>
      </c>
      <c r="L266" t="s">
        <v>47</v>
      </c>
      <c r="M266" t="s">
        <v>48</v>
      </c>
      <c r="N266" t="s">
        <v>49</v>
      </c>
      <c r="O266">
        <v>3</v>
      </c>
      <c r="P266">
        <v>150</v>
      </c>
      <c r="Q266">
        <v>20</v>
      </c>
      <c r="R266">
        <v>360</v>
      </c>
      <c r="S266">
        <v>54.35</v>
      </c>
      <c r="T266" t="s">
        <v>50</v>
      </c>
      <c r="U266" t="s">
        <v>51</v>
      </c>
      <c r="V266" t="s">
        <v>65</v>
      </c>
    </row>
    <row r="267" spans="1:22" x14ac:dyDescent="0.35">
      <c r="A267" t="s">
        <v>804</v>
      </c>
      <c r="B267" s="5">
        <v>45452</v>
      </c>
      <c r="C267" s="5" t="str">
        <f t="shared" si="9"/>
        <v>2024</v>
      </c>
      <c r="D267" s="5" t="str">
        <f t="shared" si="8"/>
        <v>June</v>
      </c>
      <c r="E267" t="s">
        <v>429</v>
      </c>
      <c r="F267" t="s">
        <v>543</v>
      </c>
      <c r="G267" t="s">
        <v>37</v>
      </c>
      <c r="H267">
        <v>45</v>
      </c>
      <c r="I267" t="s">
        <v>98</v>
      </c>
      <c r="J267" t="s">
        <v>99</v>
      </c>
      <c r="K267" t="s">
        <v>100</v>
      </c>
      <c r="L267" t="s">
        <v>27</v>
      </c>
      <c r="M267" t="s">
        <v>28</v>
      </c>
      <c r="N267" t="s">
        <v>140</v>
      </c>
      <c r="O267">
        <v>1</v>
      </c>
      <c r="P267">
        <v>65000</v>
      </c>
      <c r="Q267">
        <v>15</v>
      </c>
      <c r="R267">
        <v>55250</v>
      </c>
      <c r="S267">
        <v>5049.2700000000004</v>
      </c>
      <c r="T267" t="s">
        <v>59</v>
      </c>
      <c r="U267" t="s">
        <v>51</v>
      </c>
      <c r="V267" t="s">
        <v>65</v>
      </c>
    </row>
    <row r="268" spans="1:22" x14ac:dyDescent="0.35">
      <c r="A268" t="s">
        <v>805</v>
      </c>
      <c r="B268" s="5">
        <v>45706</v>
      </c>
      <c r="C268" s="5" t="str">
        <f t="shared" si="9"/>
        <v>2025</v>
      </c>
      <c r="D268" s="5" t="str">
        <f t="shared" si="8"/>
        <v>February</v>
      </c>
      <c r="E268" t="s">
        <v>44</v>
      </c>
      <c r="F268" t="s">
        <v>219</v>
      </c>
      <c r="G268" t="s">
        <v>23</v>
      </c>
      <c r="H268">
        <v>24</v>
      </c>
      <c r="I268" t="s">
        <v>57</v>
      </c>
      <c r="J268" t="s">
        <v>57</v>
      </c>
      <c r="K268" t="s">
        <v>58</v>
      </c>
      <c r="L268" t="s">
        <v>47</v>
      </c>
      <c r="M268" t="s">
        <v>48</v>
      </c>
      <c r="N268" t="s">
        <v>215</v>
      </c>
      <c r="O268">
        <v>3</v>
      </c>
      <c r="P268">
        <v>450</v>
      </c>
      <c r="Q268">
        <v>0</v>
      </c>
      <c r="R268">
        <v>1350</v>
      </c>
      <c r="S268">
        <v>311.58</v>
      </c>
      <c r="T268" t="s">
        <v>30</v>
      </c>
      <c r="U268" t="s">
        <v>31</v>
      </c>
      <c r="V268" t="s">
        <v>32</v>
      </c>
    </row>
    <row r="269" spans="1:22" x14ac:dyDescent="0.35">
      <c r="A269" t="s">
        <v>806</v>
      </c>
      <c r="B269" s="5">
        <v>45435</v>
      </c>
      <c r="C269" s="5" t="str">
        <f t="shared" si="9"/>
        <v>2024</v>
      </c>
      <c r="D269" s="5" t="str">
        <f t="shared" si="8"/>
        <v>May</v>
      </c>
      <c r="E269" t="s">
        <v>609</v>
      </c>
      <c r="F269" t="s">
        <v>393</v>
      </c>
      <c r="G269" t="s">
        <v>23</v>
      </c>
      <c r="H269">
        <v>47</v>
      </c>
      <c r="I269" t="s">
        <v>114</v>
      </c>
      <c r="J269" t="s">
        <v>115</v>
      </c>
      <c r="K269" t="s">
        <v>88</v>
      </c>
      <c r="L269" t="s">
        <v>27</v>
      </c>
      <c r="M269" t="s">
        <v>28</v>
      </c>
      <c r="N269" t="s">
        <v>40</v>
      </c>
      <c r="O269">
        <v>3</v>
      </c>
      <c r="P269">
        <v>2500</v>
      </c>
      <c r="Q269">
        <v>20</v>
      </c>
      <c r="R269">
        <v>6000</v>
      </c>
      <c r="S269">
        <v>1344.57</v>
      </c>
      <c r="T269" t="s">
        <v>50</v>
      </c>
      <c r="U269" t="s">
        <v>51</v>
      </c>
      <c r="V269" t="s">
        <v>117</v>
      </c>
    </row>
    <row r="270" spans="1:22" x14ac:dyDescent="0.35">
      <c r="A270" t="s">
        <v>808</v>
      </c>
      <c r="B270" s="5">
        <v>45660</v>
      </c>
      <c r="C270" s="5" t="str">
        <f t="shared" si="9"/>
        <v>2025</v>
      </c>
      <c r="D270" s="5" t="str">
        <f t="shared" si="8"/>
        <v>January</v>
      </c>
      <c r="E270" t="s">
        <v>809</v>
      </c>
      <c r="F270" t="s">
        <v>305</v>
      </c>
      <c r="G270" t="s">
        <v>23</v>
      </c>
      <c r="H270">
        <v>54</v>
      </c>
      <c r="I270" t="s">
        <v>126</v>
      </c>
      <c r="J270" t="s">
        <v>127</v>
      </c>
      <c r="K270" t="s">
        <v>88</v>
      </c>
      <c r="L270" t="s">
        <v>47</v>
      </c>
      <c r="M270" t="s">
        <v>48</v>
      </c>
      <c r="N270" t="s">
        <v>215</v>
      </c>
      <c r="O270">
        <v>4</v>
      </c>
      <c r="P270">
        <v>450</v>
      </c>
      <c r="Q270">
        <v>20</v>
      </c>
      <c r="R270">
        <v>1440</v>
      </c>
      <c r="S270">
        <v>161.31</v>
      </c>
      <c r="T270" t="s">
        <v>50</v>
      </c>
      <c r="U270" t="s">
        <v>92</v>
      </c>
      <c r="V270" t="s">
        <v>60</v>
      </c>
    </row>
    <row r="271" spans="1:22" x14ac:dyDescent="0.35">
      <c r="A271" t="s">
        <v>810</v>
      </c>
      <c r="B271" s="5">
        <v>45670</v>
      </c>
      <c r="C271" s="5" t="str">
        <f t="shared" si="9"/>
        <v>2025</v>
      </c>
      <c r="D271" s="5" t="str">
        <f t="shared" si="8"/>
        <v>January</v>
      </c>
      <c r="E271" t="s">
        <v>812</v>
      </c>
      <c r="F271" t="s">
        <v>813</v>
      </c>
      <c r="G271" t="s">
        <v>37</v>
      </c>
      <c r="H271">
        <v>25</v>
      </c>
      <c r="I271" t="s">
        <v>57</v>
      </c>
      <c r="J271" t="s">
        <v>57</v>
      </c>
      <c r="K271" t="s">
        <v>58</v>
      </c>
      <c r="L271" t="s">
        <v>78</v>
      </c>
      <c r="M271" t="s">
        <v>79</v>
      </c>
      <c r="N271" t="s">
        <v>156</v>
      </c>
      <c r="O271">
        <v>3</v>
      </c>
      <c r="P271">
        <v>800</v>
      </c>
      <c r="Q271">
        <v>15</v>
      </c>
      <c r="R271">
        <v>2040</v>
      </c>
      <c r="S271">
        <v>412.99</v>
      </c>
      <c r="T271" t="s">
        <v>59</v>
      </c>
      <c r="U271" t="s">
        <v>51</v>
      </c>
      <c r="V271" t="s">
        <v>52</v>
      </c>
    </row>
    <row r="272" spans="1:22" x14ac:dyDescent="0.35">
      <c r="A272" t="s">
        <v>814</v>
      </c>
      <c r="B272" s="5">
        <v>45684</v>
      </c>
      <c r="C272" s="5" t="str">
        <f t="shared" si="9"/>
        <v>2025</v>
      </c>
      <c r="D272" s="5" t="str">
        <f t="shared" si="8"/>
        <v>January</v>
      </c>
      <c r="E272" t="s">
        <v>385</v>
      </c>
      <c r="F272" t="s">
        <v>147</v>
      </c>
      <c r="G272" t="s">
        <v>23</v>
      </c>
      <c r="H272">
        <v>47</v>
      </c>
      <c r="I272" t="s">
        <v>114</v>
      </c>
      <c r="J272" t="s">
        <v>115</v>
      </c>
      <c r="K272" t="s">
        <v>88</v>
      </c>
      <c r="L272" t="s">
        <v>27</v>
      </c>
      <c r="M272" t="s">
        <v>28</v>
      </c>
      <c r="N272" t="s">
        <v>29</v>
      </c>
      <c r="O272">
        <v>4</v>
      </c>
      <c r="P272">
        <v>12000</v>
      </c>
      <c r="Q272">
        <v>15</v>
      </c>
      <c r="R272">
        <v>40800</v>
      </c>
      <c r="S272">
        <v>9882.5300000000007</v>
      </c>
      <c r="T272" t="s">
        <v>59</v>
      </c>
      <c r="U272" t="s">
        <v>51</v>
      </c>
      <c r="V272" t="s">
        <v>60</v>
      </c>
    </row>
    <row r="273" spans="1:22" x14ac:dyDescent="0.35">
      <c r="A273" t="s">
        <v>815</v>
      </c>
      <c r="B273" s="5">
        <v>45318</v>
      </c>
      <c r="C273" s="5" t="str">
        <f t="shared" si="9"/>
        <v>2024</v>
      </c>
      <c r="D273" s="5" t="str">
        <f t="shared" si="8"/>
        <v>January</v>
      </c>
      <c r="E273" t="s">
        <v>76</v>
      </c>
      <c r="F273" t="s">
        <v>595</v>
      </c>
      <c r="G273" t="s">
        <v>37</v>
      </c>
      <c r="H273">
        <v>34</v>
      </c>
      <c r="I273" t="s">
        <v>86</v>
      </c>
      <c r="J273" t="s">
        <v>87</v>
      </c>
      <c r="K273" t="s">
        <v>88</v>
      </c>
      <c r="L273" t="s">
        <v>78</v>
      </c>
      <c r="M273" t="s">
        <v>79</v>
      </c>
      <c r="N273" t="s">
        <v>156</v>
      </c>
      <c r="O273">
        <v>3</v>
      </c>
      <c r="P273">
        <v>800</v>
      </c>
      <c r="Q273">
        <v>5</v>
      </c>
      <c r="R273">
        <v>2280</v>
      </c>
      <c r="S273">
        <v>309.85000000000002</v>
      </c>
      <c r="T273" t="s">
        <v>30</v>
      </c>
      <c r="U273" t="s">
        <v>51</v>
      </c>
      <c r="V273" t="s">
        <v>32</v>
      </c>
    </row>
    <row r="274" spans="1:22" x14ac:dyDescent="0.35">
      <c r="A274" t="s">
        <v>816</v>
      </c>
      <c r="B274" s="5">
        <v>45356</v>
      </c>
      <c r="C274" s="5" t="str">
        <f t="shared" si="9"/>
        <v>2024</v>
      </c>
      <c r="D274" s="5" t="str">
        <f t="shared" si="8"/>
        <v>March</v>
      </c>
      <c r="E274" t="s">
        <v>676</v>
      </c>
      <c r="F274" t="s">
        <v>817</v>
      </c>
      <c r="G274" t="s">
        <v>37</v>
      </c>
      <c r="H274">
        <v>20</v>
      </c>
      <c r="I274" t="s">
        <v>24</v>
      </c>
      <c r="J274" t="s">
        <v>25</v>
      </c>
      <c r="K274" t="s">
        <v>26</v>
      </c>
      <c r="L274" t="s">
        <v>47</v>
      </c>
      <c r="M274" t="s">
        <v>48</v>
      </c>
      <c r="N274" t="s">
        <v>215</v>
      </c>
      <c r="O274">
        <v>1</v>
      </c>
      <c r="P274">
        <v>450</v>
      </c>
      <c r="Q274">
        <v>20</v>
      </c>
      <c r="R274">
        <v>360</v>
      </c>
      <c r="S274">
        <v>38.32</v>
      </c>
      <c r="T274" t="s">
        <v>81</v>
      </c>
      <c r="U274" t="s">
        <v>51</v>
      </c>
      <c r="V274" t="s">
        <v>93</v>
      </c>
    </row>
    <row r="275" spans="1:22" x14ac:dyDescent="0.35">
      <c r="A275" t="s">
        <v>818</v>
      </c>
      <c r="B275" s="5">
        <v>45672</v>
      </c>
      <c r="C275" s="5" t="str">
        <f t="shared" si="9"/>
        <v>2025</v>
      </c>
      <c r="D275" s="5" t="str">
        <f t="shared" si="8"/>
        <v>January</v>
      </c>
      <c r="E275" t="s">
        <v>218</v>
      </c>
      <c r="F275" t="s">
        <v>418</v>
      </c>
      <c r="G275" t="s">
        <v>23</v>
      </c>
      <c r="H275">
        <v>52</v>
      </c>
      <c r="I275" t="s">
        <v>86</v>
      </c>
      <c r="J275" t="s">
        <v>87</v>
      </c>
      <c r="K275" t="s">
        <v>88</v>
      </c>
      <c r="L275" t="s">
        <v>78</v>
      </c>
      <c r="M275" t="s">
        <v>79</v>
      </c>
      <c r="N275" t="s">
        <v>80</v>
      </c>
      <c r="O275">
        <v>2</v>
      </c>
      <c r="P275">
        <v>1800</v>
      </c>
      <c r="Q275">
        <v>0</v>
      </c>
      <c r="R275">
        <v>3600</v>
      </c>
      <c r="S275">
        <v>356.09</v>
      </c>
      <c r="T275" t="s">
        <v>30</v>
      </c>
      <c r="U275" t="s">
        <v>31</v>
      </c>
      <c r="V275" t="s">
        <v>117</v>
      </c>
    </row>
    <row r="276" spans="1:22" x14ac:dyDescent="0.35">
      <c r="A276" t="s">
        <v>819</v>
      </c>
      <c r="B276" s="5">
        <v>45336</v>
      </c>
      <c r="C276" s="5" t="str">
        <f t="shared" si="9"/>
        <v>2024</v>
      </c>
      <c r="D276" s="5" t="str">
        <f t="shared" si="8"/>
        <v>February</v>
      </c>
      <c r="E276" t="s">
        <v>120</v>
      </c>
      <c r="F276" t="s">
        <v>449</v>
      </c>
      <c r="G276" t="s">
        <v>37</v>
      </c>
      <c r="H276">
        <v>41</v>
      </c>
      <c r="I276" t="s">
        <v>24</v>
      </c>
      <c r="J276" t="s">
        <v>25</v>
      </c>
      <c r="K276" t="s">
        <v>26</v>
      </c>
      <c r="L276" t="s">
        <v>89</v>
      </c>
      <c r="M276" t="s">
        <v>90</v>
      </c>
      <c r="N276" t="s">
        <v>91</v>
      </c>
      <c r="O276">
        <v>3</v>
      </c>
      <c r="P276">
        <v>9000</v>
      </c>
      <c r="Q276">
        <v>10</v>
      </c>
      <c r="R276">
        <v>24300</v>
      </c>
      <c r="S276">
        <v>4660.72</v>
      </c>
      <c r="T276" t="s">
        <v>81</v>
      </c>
      <c r="U276" t="s">
        <v>51</v>
      </c>
      <c r="V276" t="s">
        <v>93</v>
      </c>
    </row>
    <row r="277" spans="1:22" x14ac:dyDescent="0.35">
      <c r="A277" t="s">
        <v>820</v>
      </c>
      <c r="B277" s="5">
        <v>45591</v>
      </c>
      <c r="C277" s="5" t="str">
        <f t="shared" si="9"/>
        <v>2024</v>
      </c>
      <c r="D277" s="5" t="str">
        <f t="shared" si="8"/>
        <v>October</v>
      </c>
      <c r="E277" t="s">
        <v>822</v>
      </c>
      <c r="F277" t="s">
        <v>643</v>
      </c>
      <c r="G277" t="s">
        <v>23</v>
      </c>
      <c r="H277">
        <v>52</v>
      </c>
      <c r="I277" t="s">
        <v>46</v>
      </c>
      <c r="J277" t="s">
        <v>25</v>
      </c>
      <c r="K277" t="s">
        <v>26</v>
      </c>
      <c r="L277" t="s">
        <v>27</v>
      </c>
      <c r="M277" t="s">
        <v>28</v>
      </c>
      <c r="N277" t="s">
        <v>140</v>
      </c>
      <c r="O277">
        <v>3</v>
      </c>
      <c r="P277">
        <v>65000</v>
      </c>
      <c r="Q277">
        <v>20</v>
      </c>
      <c r="R277">
        <v>156000</v>
      </c>
      <c r="S277">
        <v>14479.85</v>
      </c>
      <c r="T277" t="s">
        <v>50</v>
      </c>
      <c r="U277" t="s">
        <v>31</v>
      </c>
      <c r="V277" t="s">
        <v>60</v>
      </c>
    </row>
    <row r="278" spans="1:22" x14ac:dyDescent="0.35">
      <c r="A278" t="s">
        <v>823</v>
      </c>
      <c r="B278" s="5">
        <v>45413</v>
      </c>
      <c r="C278" s="5" t="str">
        <f t="shared" si="9"/>
        <v>2024</v>
      </c>
      <c r="D278" s="5" t="str">
        <f t="shared" si="8"/>
        <v>May</v>
      </c>
      <c r="E278" t="s">
        <v>754</v>
      </c>
      <c r="F278" t="s">
        <v>321</v>
      </c>
      <c r="G278" t="s">
        <v>23</v>
      </c>
      <c r="H278">
        <v>38</v>
      </c>
      <c r="I278" t="s">
        <v>98</v>
      </c>
      <c r="J278" t="s">
        <v>99</v>
      </c>
      <c r="K278" t="s">
        <v>100</v>
      </c>
      <c r="L278" t="s">
        <v>78</v>
      </c>
      <c r="M278" t="s">
        <v>79</v>
      </c>
      <c r="N278" t="s">
        <v>156</v>
      </c>
      <c r="O278">
        <v>3</v>
      </c>
      <c r="P278">
        <v>800</v>
      </c>
      <c r="Q278">
        <v>15</v>
      </c>
      <c r="R278">
        <v>2040</v>
      </c>
      <c r="S278">
        <v>487.56</v>
      </c>
      <c r="T278" t="s">
        <v>81</v>
      </c>
      <c r="U278" t="s">
        <v>51</v>
      </c>
      <c r="V278" t="s">
        <v>65</v>
      </c>
    </row>
    <row r="279" spans="1:22" x14ac:dyDescent="0.35">
      <c r="A279" t="s">
        <v>824</v>
      </c>
      <c r="B279" s="5">
        <v>45676</v>
      </c>
      <c r="C279" s="5" t="str">
        <f t="shared" si="9"/>
        <v>2025</v>
      </c>
      <c r="D279" s="5" t="str">
        <f t="shared" si="8"/>
        <v>January</v>
      </c>
      <c r="E279" t="s">
        <v>628</v>
      </c>
      <c r="F279" t="s">
        <v>246</v>
      </c>
      <c r="G279" t="s">
        <v>23</v>
      </c>
      <c r="H279">
        <v>38</v>
      </c>
      <c r="I279" t="s">
        <v>57</v>
      </c>
      <c r="J279" t="s">
        <v>57</v>
      </c>
      <c r="K279" t="s">
        <v>58</v>
      </c>
      <c r="L279" t="s">
        <v>27</v>
      </c>
      <c r="M279" t="s">
        <v>28</v>
      </c>
      <c r="N279" t="s">
        <v>73</v>
      </c>
      <c r="O279">
        <v>5</v>
      </c>
      <c r="P279">
        <v>25000</v>
      </c>
      <c r="Q279">
        <v>10</v>
      </c>
      <c r="R279">
        <v>112500</v>
      </c>
      <c r="S279">
        <v>15971.84</v>
      </c>
      <c r="T279" t="s">
        <v>81</v>
      </c>
      <c r="U279" t="s">
        <v>31</v>
      </c>
      <c r="V279" t="s">
        <v>65</v>
      </c>
    </row>
    <row r="280" spans="1:22" x14ac:dyDescent="0.35">
      <c r="A280" t="s">
        <v>826</v>
      </c>
      <c r="B280" s="5">
        <v>45475</v>
      </c>
      <c r="C280" s="5" t="str">
        <f t="shared" si="9"/>
        <v>2024</v>
      </c>
      <c r="D280" s="5" t="str">
        <f t="shared" si="8"/>
        <v>July</v>
      </c>
      <c r="E280" t="s">
        <v>174</v>
      </c>
      <c r="F280" t="s">
        <v>827</v>
      </c>
      <c r="G280" t="s">
        <v>23</v>
      </c>
      <c r="H280">
        <v>56</v>
      </c>
      <c r="I280" t="s">
        <v>126</v>
      </c>
      <c r="J280" t="s">
        <v>127</v>
      </c>
      <c r="K280" t="s">
        <v>88</v>
      </c>
      <c r="L280" t="s">
        <v>27</v>
      </c>
      <c r="M280" t="s">
        <v>28</v>
      </c>
      <c r="N280" t="s">
        <v>73</v>
      </c>
      <c r="O280">
        <v>4</v>
      </c>
      <c r="P280">
        <v>25000</v>
      </c>
      <c r="Q280">
        <v>0</v>
      </c>
      <c r="R280">
        <v>100000</v>
      </c>
      <c r="S280">
        <v>26283.82</v>
      </c>
      <c r="T280" t="s">
        <v>81</v>
      </c>
      <c r="U280" t="s">
        <v>31</v>
      </c>
      <c r="V280" t="s">
        <v>93</v>
      </c>
    </row>
    <row r="281" spans="1:22" x14ac:dyDescent="0.35">
      <c r="A281" t="s">
        <v>828</v>
      </c>
      <c r="B281" s="5">
        <v>45651</v>
      </c>
      <c r="C281" s="5" t="str">
        <f t="shared" si="9"/>
        <v>2024</v>
      </c>
      <c r="D281" s="5" t="str">
        <f t="shared" si="8"/>
        <v>December</v>
      </c>
      <c r="E281" t="s">
        <v>208</v>
      </c>
      <c r="F281" t="s">
        <v>813</v>
      </c>
      <c r="G281" t="s">
        <v>23</v>
      </c>
      <c r="H281">
        <v>33</v>
      </c>
      <c r="I281" t="s">
        <v>46</v>
      </c>
      <c r="J281" t="s">
        <v>25</v>
      </c>
      <c r="K281" t="s">
        <v>26</v>
      </c>
      <c r="L281" t="s">
        <v>78</v>
      </c>
      <c r="M281" t="s">
        <v>79</v>
      </c>
      <c r="N281" t="s">
        <v>101</v>
      </c>
      <c r="O281">
        <v>3</v>
      </c>
      <c r="P281">
        <v>3500</v>
      </c>
      <c r="Q281">
        <v>15</v>
      </c>
      <c r="R281">
        <v>8925</v>
      </c>
      <c r="S281">
        <v>2168.4899999999998</v>
      </c>
      <c r="T281" t="s">
        <v>50</v>
      </c>
      <c r="U281" t="s">
        <v>51</v>
      </c>
      <c r="V281" t="s">
        <v>117</v>
      </c>
    </row>
    <row r="282" spans="1:22" x14ac:dyDescent="0.35">
      <c r="A282" t="s">
        <v>830</v>
      </c>
      <c r="B282" s="5">
        <v>45451</v>
      </c>
      <c r="C282" s="5" t="str">
        <f t="shared" si="9"/>
        <v>2024</v>
      </c>
      <c r="D282" s="5" t="str">
        <f t="shared" si="8"/>
        <v>June</v>
      </c>
      <c r="E282" t="s">
        <v>832</v>
      </c>
      <c r="F282" t="s">
        <v>833</v>
      </c>
      <c r="G282" t="s">
        <v>23</v>
      </c>
      <c r="H282">
        <v>29</v>
      </c>
      <c r="I282" t="s">
        <v>126</v>
      </c>
      <c r="J282" t="s">
        <v>127</v>
      </c>
      <c r="K282" t="s">
        <v>88</v>
      </c>
      <c r="L282" t="s">
        <v>47</v>
      </c>
      <c r="M282" t="s">
        <v>48</v>
      </c>
      <c r="N282" t="s">
        <v>49</v>
      </c>
      <c r="O282">
        <v>2</v>
      </c>
      <c r="P282">
        <v>150</v>
      </c>
      <c r="Q282">
        <v>5</v>
      </c>
      <c r="R282">
        <v>285</v>
      </c>
      <c r="S282">
        <v>29.4</v>
      </c>
      <c r="T282" t="s">
        <v>41</v>
      </c>
      <c r="U282" t="s">
        <v>31</v>
      </c>
      <c r="V282" t="s">
        <v>32</v>
      </c>
    </row>
    <row r="283" spans="1:22" x14ac:dyDescent="0.35">
      <c r="A283" t="s">
        <v>834</v>
      </c>
      <c r="B283" s="5">
        <v>45300</v>
      </c>
      <c r="C283" s="5" t="str">
        <f t="shared" si="9"/>
        <v>2024</v>
      </c>
      <c r="D283" s="5" t="str">
        <f t="shared" si="8"/>
        <v>January</v>
      </c>
      <c r="E283" t="s">
        <v>143</v>
      </c>
      <c r="F283" t="s">
        <v>468</v>
      </c>
      <c r="G283" t="s">
        <v>37</v>
      </c>
      <c r="H283">
        <v>29</v>
      </c>
      <c r="I283" t="s">
        <v>38</v>
      </c>
      <c r="J283" t="s">
        <v>39</v>
      </c>
      <c r="K283" t="s">
        <v>26</v>
      </c>
      <c r="L283" t="s">
        <v>78</v>
      </c>
      <c r="M283" t="s">
        <v>79</v>
      </c>
      <c r="N283" t="s">
        <v>156</v>
      </c>
      <c r="O283">
        <v>5</v>
      </c>
      <c r="P283">
        <v>800</v>
      </c>
      <c r="Q283">
        <v>5</v>
      </c>
      <c r="R283">
        <v>3800</v>
      </c>
      <c r="S283">
        <v>834.01</v>
      </c>
      <c r="T283" t="s">
        <v>50</v>
      </c>
      <c r="U283" t="s">
        <v>51</v>
      </c>
      <c r="V283" t="s">
        <v>32</v>
      </c>
    </row>
    <row r="284" spans="1:22" x14ac:dyDescent="0.35">
      <c r="A284" t="s">
        <v>836</v>
      </c>
      <c r="B284" s="5">
        <v>45320</v>
      </c>
      <c r="C284" s="5" t="str">
        <f t="shared" si="9"/>
        <v>2024</v>
      </c>
      <c r="D284" s="5" t="str">
        <f t="shared" si="8"/>
        <v>January</v>
      </c>
      <c r="E284" t="s">
        <v>347</v>
      </c>
      <c r="F284" t="s">
        <v>424</v>
      </c>
      <c r="G284" t="s">
        <v>23</v>
      </c>
      <c r="H284">
        <v>33</v>
      </c>
      <c r="I284" t="s">
        <v>126</v>
      </c>
      <c r="J284" t="s">
        <v>127</v>
      </c>
      <c r="K284" t="s">
        <v>88</v>
      </c>
      <c r="L284" t="s">
        <v>78</v>
      </c>
      <c r="M284" t="s">
        <v>79</v>
      </c>
      <c r="N284" t="s">
        <v>80</v>
      </c>
      <c r="O284">
        <v>4</v>
      </c>
      <c r="P284">
        <v>1800</v>
      </c>
      <c r="Q284">
        <v>0</v>
      </c>
      <c r="R284">
        <v>7200</v>
      </c>
      <c r="S284">
        <v>898.26</v>
      </c>
      <c r="T284" t="s">
        <v>50</v>
      </c>
      <c r="U284" t="s">
        <v>51</v>
      </c>
      <c r="V284" t="s">
        <v>60</v>
      </c>
    </row>
    <row r="285" spans="1:22" x14ac:dyDescent="0.35">
      <c r="A285" t="s">
        <v>838</v>
      </c>
      <c r="B285" s="5">
        <v>45688</v>
      </c>
      <c r="C285" s="5" t="str">
        <f t="shared" si="9"/>
        <v>2025</v>
      </c>
      <c r="D285" s="5" t="str">
        <f t="shared" si="8"/>
        <v>January</v>
      </c>
      <c r="E285" t="s">
        <v>839</v>
      </c>
      <c r="F285" t="s">
        <v>197</v>
      </c>
      <c r="G285" t="s">
        <v>23</v>
      </c>
      <c r="H285">
        <v>54</v>
      </c>
      <c r="I285" t="s">
        <v>114</v>
      </c>
      <c r="J285" t="s">
        <v>115</v>
      </c>
      <c r="K285" t="s">
        <v>88</v>
      </c>
      <c r="L285" t="s">
        <v>47</v>
      </c>
      <c r="M285" t="s">
        <v>48</v>
      </c>
      <c r="N285" t="s">
        <v>215</v>
      </c>
      <c r="O285">
        <v>4</v>
      </c>
      <c r="P285">
        <v>450</v>
      </c>
      <c r="Q285">
        <v>20</v>
      </c>
      <c r="R285">
        <v>1440</v>
      </c>
      <c r="S285">
        <v>231.63</v>
      </c>
      <c r="T285" t="s">
        <v>30</v>
      </c>
      <c r="U285" t="s">
        <v>51</v>
      </c>
      <c r="V285" t="s">
        <v>52</v>
      </c>
    </row>
    <row r="286" spans="1:22" x14ac:dyDescent="0.35">
      <c r="A286" t="s">
        <v>840</v>
      </c>
      <c r="B286" s="5">
        <v>45395</v>
      </c>
      <c r="C286" s="5" t="str">
        <f t="shared" si="9"/>
        <v>2024</v>
      </c>
      <c r="D286" s="5" t="str">
        <f t="shared" si="8"/>
        <v>April</v>
      </c>
      <c r="E286" t="s">
        <v>274</v>
      </c>
      <c r="F286" t="s">
        <v>234</v>
      </c>
      <c r="G286" t="s">
        <v>37</v>
      </c>
      <c r="H286">
        <v>48</v>
      </c>
      <c r="I286" t="s">
        <v>57</v>
      </c>
      <c r="J286" t="s">
        <v>57</v>
      </c>
      <c r="K286" t="s">
        <v>58</v>
      </c>
      <c r="L286" t="s">
        <v>78</v>
      </c>
      <c r="M286" t="s">
        <v>79</v>
      </c>
      <c r="N286" t="s">
        <v>156</v>
      </c>
      <c r="O286">
        <v>2</v>
      </c>
      <c r="P286">
        <v>800</v>
      </c>
      <c r="Q286">
        <v>0</v>
      </c>
      <c r="R286">
        <v>1600</v>
      </c>
      <c r="S286">
        <v>148.05000000000001</v>
      </c>
      <c r="T286" t="s">
        <v>41</v>
      </c>
      <c r="U286" t="s">
        <v>92</v>
      </c>
      <c r="V286" t="s">
        <v>32</v>
      </c>
    </row>
    <row r="287" spans="1:22" x14ac:dyDescent="0.35">
      <c r="A287" t="s">
        <v>842</v>
      </c>
      <c r="B287" s="5">
        <v>45721</v>
      </c>
      <c r="C287" s="5" t="str">
        <f t="shared" si="9"/>
        <v>2025</v>
      </c>
      <c r="D287" s="5" t="str">
        <f t="shared" si="8"/>
        <v>March</v>
      </c>
      <c r="E287" t="s">
        <v>331</v>
      </c>
      <c r="F287" t="s">
        <v>362</v>
      </c>
      <c r="G287" t="s">
        <v>23</v>
      </c>
      <c r="H287">
        <v>29</v>
      </c>
      <c r="I287" t="s">
        <v>98</v>
      </c>
      <c r="J287" t="s">
        <v>99</v>
      </c>
      <c r="K287" t="s">
        <v>100</v>
      </c>
      <c r="L287" t="s">
        <v>89</v>
      </c>
      <c r="M287" t="s">
        <v>90</v>
      </c>
      <c r="N287" t="s">
        <v>128</v>
      </c>
      <c r="O287">
        <v>2</v>
      </c>
      <c r="P287">
        <v>7000</v>
      </c>
      <c r="Q287">
        <v>10</v>
      </c>
      <c r="R287">
        <v>12600</v>
      </c>
      <c r="S287">
        <v>3263.01</v>
      </c>
      <c r="T287" t="s">
        <v>59</v>
      </c>
      <c r="U287" t="s">
        <v>31</v>
      </c>
      <c r="V287" t="s">
        <v>93</v>
      </c>
    </row>
    <row r="288" spans="1:22" x14ac:dyDescent="0.35">
      <c r="A288" t="s">
        <v>844</v>
      </c>
      <c r="B288" s="5">
        <v>45658</v>
      </c>
      <c r="C288" s="5" t="str">
        <f t="shared" si="9"/>
        <v>2025</v>
      </c>
      <c r="D288" s="5" t="str">
        <f t="shared" si="8"/>
        <v>January</v>
      </c>
      <c r="E288" t="s">
        <v>196</v>
      </c>
      <c r="F288" t="s">
        <v>441</v>
      </c>
      <c r="G288" t="s">
        <v>37</v>
      </c>
      <c r="H288">
        <v>28</v>
      </c>
      <c r="I288" t="s">
        <v>126</v>
      </c>
      <c r="J288" t="s">
        <v>127</v>
      </c>
      <c r="K288" t="s">
        <v>88</v>
      </c>
      <c r="L288" t="s">
        <v>78</v>
      </c>
      <c r="M288" t="s">
        <v>79</v>
      </c>
      <c r="N288" t="s">
        <v>80</v>
      </c>
      <c r="O288">
        <v>4</v>
      </c>
      <c r="P288">
        <v>1800</v>
      </c>
      <c r="Q288">
        <v>10</v>
      </c>
      <c r="R288">
        <v>6480</v>
      </c>
      <c r="S288">
        <v>758.96</v>
      </c>
      <c r="T288" t="s">
        <v>81</v>
      </c>
      <c r="U288" t="s">
        <v>51</v>
      </c>
      <c r="V288" t="s">
        <v>60</v>
      </c>
    </row>
    <row r="289" spans="1:22" x14ac:dyDescent="0.35">
      <c r="A289" t="s">
        <v>846</v>
      </c>
      <c r="B289" s="5">
        <v>45554</v>
      </c>
      <c r="C289" s="5" t="str">
        <f t="shared" si="9"/>
        <v>2024</v>
      </c>
      <c r="D289" s="5" t="str">
        <f t="shared" si="8"/>
        <v>September</v>
      </c>
      <c r="E289" t="s">
        <v>204</v>
      </c>
      <c r="F289" t="s">
        <v>647</v>
      </c>
      <c r="G289" t="s">
        <v>23</v>
      </c>
      <c r="H289">
        <v>50</v>
      </c>
      <c r="I289" t="s">
        <v>98</v>
      </c>
      <c r="J289" t="s">
        <v>99</v>
      </c>
      <c r="K289" t="s">
        <v>100</v>
      </c>
      <c r="L289" t="s">
        <v>27</v>
      </c>
      <c r="M289" t="s">
        <v>28</v>
      </c>
      <c r="N289" t="s">
        <v>140</v>
      </c>
      <c r="O289">
        <v>5</v>
      </c>
      <c r="P289">
        <v>65000</v>
      </c>
      <c r="Q289">
        <v>20</v>
      </c>
      <c r="R289">
        <v>260000</v>
      </c>
      <c r="S289">
        <v>50766.03</v>
      </c>
      <c r="T289" t="s">
        <v>41</v>
      </c>
      <c r="U289" t="s">
        <v>92</v>
      </c>
      <c r="V289" t="s">
        <v>117</v>
      </c>
    </row>
    <row r="290" spans="1:22" x14ac:dyDescent="0.35">
      <c r="A290" t="s">
        <v>848</v>
      </c>
      <c r="B290" s="5">
        <v>45333</v>
      </c>
      <c r="C290" s="5" t="str">
        <f t="shared" si="9"/>
        <v>2024</v>
      </c>
      <c r="D290" s="5" t="str">
        <f t="shared" si="8"/>
        <v>February</v>
      </c>
      <c r="E290" t="s">
        <v>120</v>
      </c>
      <c r="F290" t="s">
        <v>324</v>
      </c>
      <c r="G290" t="s">
        <v>37</v>
      </c>
      <c r="H290">
        <v>22</v>
      </c>
      <c r="I290" t="s">
        <v>98</v>
      </c>
      <c r="J290" t="s">
        <v>99</v>
      </c>
      <c r="K290" t="s">
        <v>100</v>
      </c>
      <c r="L290" t="s">
        <v>47</v>
      </c>
      <c r="M290" t="s">
        <v>48</v>
      </c>
      <c r="N290" t="s">
        <v>116</v>
      </c>
      <c r="O290">
        <v>2</v>
      </c>
      <c r="P290">
        <v>120</v>
      </c>
      <c r="Q290">
        <v>20</v>
      </c>
      <c r="R290">
        <v>192</v>
      </c>
      <c r="S290">
        <v>18.690000000000001</v>
      </c>
      <c r="T290" t="s">
        <v>81</v>
      </c>
      <c r="U290" t="s">
        <v>31</v>
      </c>
      <c r="V290" t="s">
        <v>60</v>
      </c>
    </row>
    <row r="291" spans="1:22" x14ac:dyDescent="0.35">
      <c r="A291" t="s">
        <v>850</v>
      </c>
      <c r="B291" s="5">
        <v>45811</v>
      </c>
      <c r="C291" s="5" t="str">
        <f t="shared" si="9"/>
        <v>2025</v>
      </c>
      <c r="D291" s="5" t="str">
        <f t="shared" si="8"/>
        <v>June</v>
      </c>
      <c r="E291" t="s">
        <v>542</v>
      </c>
      <c r="F291" t="s">
        <v>410</v>
      </c>
      <c r="G291" t="s">
        <v>23</v>
      </c>
      <c r="H291">
        <v>49</v>
      </c>
      <c r="I291" t="s">
        <v>38</v>
      </c>
      <c r="J291" t="s">
        <v>39</v>
      </c>
      <c r="K291" t="s">
        <v>26</v>
      </c>
      <c r="L291" t="s">
        <v>47</v>
      </c>
      <c r="M291" t="s">
        <v>48</v>
      </c>
      <c r="N291" t="s">
        <v>116</v>
      </c>
      <c r="O291">
        <v>4</v>
      </c>
      <c r="P291">
        <v>120</v>
      </c>
      <c r="Q291">
        <v>15</v>
      </c>
      <c r="R291">
        <v>408</v>
      </c>
      <c r="S291">
        <v>34.74</v>
      </c>
      <c r="T291" t="s">
        <v>59</v>
      </c>
      <c r="U291" t="s">
        <v>51</v>
      </c>
      <c r="V291" t="s">
        <v>93</v>
      </c>
    </row>
    <row r="292" spans="1:22" x14ac:dyDescent="0.35">
      <c r="A292" t="s">
        <v>851</v>
      </c>
      <c r="B292" s="5">
        <v>45514</v>
      </c>
      <c r="C292" s="5" t="str">
        <f t="shared" si="9"/>
        <v>2024</v>
      </c>
      <c r="D292" s="5" t="str">
        <f t="shared" si="8"/>
        <v>August</v>
      </c>
      <c r="E292" t="s">
        <v>270</v>
      </c>
      <c r="F292" t="s">
        <v>852</v>
      </c>
      <c r="G292" t="s">
        <v>23</v>
      </c>
      <c r="H292">
        <v>27</v>
      </c>
      <c r="I292" t="s">
        <v>46</v>
      </c>
      <c r="J292" t="s">
        <v>25</v>
      </c>
      <c r="K292" t="s">
        <v>26</v>
      </c>
      <c r="L292" t="s">
        <v>78</v>
      </c>
      <c r="M292" t="s">
        <v>79</v>
      </c>
      <c r="N292" t="s">
        <v>156</v>
      </c>
      <c r="O292">
        <v>1</v>
      </c>
      <c r="P292">
        <v>800</v>
      </c>
      <c r="Q292">
        <v>20</v>
      </c>
      <c r="R292">
        <v>640</v>
      </c>
      <c r="S292">
        <v>73.67</v>
      </c>
      <c r="T292" t="s">
        <v>30</v>
      </c>
      <c r="U292" t="s">
        <v>31</v>
      </c>
      <c r="V292" t="s">
        <v>52</v>
      </c>
    </row>
    <row r="293" spans="1:22" x14ac:dyDescent="0.35">
      <c r="A293" t="s">
        <v>853</v>
      </c>
      <c r="B293" s="5">
        <v>45653</v>
      </c>
      <c r="C293" s="5" t="str">
        <f t="shared" si="9"/>
        <v>2024</v>
      </c>
      <c r="D293" s="5" t="str">
        <f t="shared" si="8"/>
        <v>December</v>
      </c>
      <c r="E293" t="s">
        <v>408</v>
      </c>
      <c r="F293" t="s">
        <v>437</v>
      </c>
      <c r="G293" t="s">
        <v>23</v>
      </c>
      <c r="H293">
        <v>27</v>
      </c>
      <c r="I293" t="s">
        <v>57</v>
      </c>
      <c r="J293" t="s">
        <v>57</v>
      </c>
      <c r="K293" t="s">
        <v>58</v>
      </c>
      <c r="L293" t="s">
        <v>89</v>
      </c>
      <c r="M293" t="s">
        <v>90</v>
      </c>
      <c r="N293" t="s">
        <v>91</v>
      </c>
      <c r="O293">
        <v>2</v>
      </c>
      <c r="P293">
        <v>9000</v>
      </c>
      <c r="Q293">
        <v>5</v>
      </c>
      <c r="R293">
        <v>17100</v>
      </c>
      <c r="S293">
        <v>4447.3100000000004</v>
      </c>
      <c r="T293" t="s">
        <v>59</v>
      </c>
      <c r="U293" t="s">
        <v>51</v>
      </c>
      <c r="V293" t="s">
        <v>65</v>
      </c>
    </row>
    <row r="294" spans="1:22" x14ac:dyDescent="0.35">
      <c r="A294" t="s">
        <v>855</v>
      </c>
      <c r="B294" s="5">
        <v>45390</v>
      </c>
      <c r="C294" s="5" t="str">
        <f t="shared" si="9"/>
        <v>2024</v>
      </c>
      <c r="D294" s="5" t="str">
        <f t="shared" si="8"/>
        <v>April</v>
      </c>
      <c r="E294" t="s">
        <v>857</v>
      </c>
      <c r="F294" t="s">
        <v>230</v>
      </c>
      <c r="G294" t="s">
        <v>37</v>
      </c>
      <c r="H294">
        <v>56</v>
      </c>
      <c r="I294" t="s">
        <v>38</v>
      </c>
      <c r="J294" t="s">
        <v>39</v>
      </c>
      <c r="K294" t="s">
        <v>26</v>
      </c>
      <c r="L294" t="s">
        <v>78</v>
      </c>
      <c r="M294" t="s">
        <v>79</v>
      </c>
      <c r="N294" t="s">
        <v>156</v>
      </c>
      <c r="O294">
        <v>2</v>
      </c>
      <c r="P294">
        <v>800</v>
      </c>
      <c r="Q294">
        <v>0</v>
      </c>
      <c r="R294">
        <v>1600</v>
      </c>
      <c r="S294">
        <v>445.75</v>
      </c>
      <c r="T294" t="s">
        <v>50</v>
      </c>
      <c r="U294" t="s">
        <v>51</v>
      </c>
      <c r="V294" t="s">
        <v>52</v>
      </c>
    </row>
    <row r="295" spans="1:22" x14ac:dyDescent="0.35">
      <c r="A295" t="s">
        <v>858</v>
      </c>
      <c r="B295" s="5">
        <v>45655</v>
      </c>
      <c r="C295" s="5" t="str">
        <f t="shared" si="9"/>
        <v>2024</v>
      </c>
      <c r="D295" s="5" t="str">
        <f t="shared" si="8"/>
        <v>December</v>
      </c>
      <c r="E295" t="s">
        <v>131</v>
      </c>
      <c r="F295" t="s">
        <v>418</v>
      </c>
      <c r="G295" t="s">
        <v>37</v>
      </c>
      <c r="H295">
        <v>44</v>
      </c>
      <c r="I295" t="s">
        <v>114</v>
      </c>
      <c r="J295" t="s">
        <v>115</v>
      </c>
      <c r="K295" t="s">
        <v>88</v>
      </c>
      <c r="L295" t="s">
        <v>47</v>
      </c>
      <c r="M295" t="s">
        <v>48</v>
      </c>
      <c r="N295" t="s">
        <v>49</v>
      </c>
      <c r="O295">
        <v>3</v>
      </c>
      <c r="P295">
        <v>150</v>
      </c>
      <c r="Q295">
        <v>5</v>
      </c>
      <c r="R295">
        <v>427.5</v>
      </c>
      <c r="S295">
        <v>47.28</v>
      </c>
      <c r="T295" t="s">
        <v>41</v>
      </c>
      <c r="U295" t="s">
        <v>31</v>
      </c>
      <c r="V295" t="s">
        <v>117</v>
      </c>
    </row>
    <row r="296" spans="1:22" x14ac:dyDescent="0.35">
      <c r="A296" t="s">
        <v>860</v>
      </c>
      <c r="B296" s="5">
        <v>45798</v>
      </c>
      <c r="C296" s="5" t="str">
        <f t="shared" si="9"/>
        <v>2025</v>
      </c>
      <c r="D296" s="5" t="str">
        <f t="shared" si="8"/>
        <v>May</v>
      </c>
      <c r="E296" t="s">
        <v>522</v>
      </c>
      <c r="F296" t="s">
        <v>105</v>
      </c>
      <c r="G296" t="s">
        <v>23</v>
      </c>
      <c r="H296">
        <v>53</v>
      </c>
      <c r="I296" t="s">
        <v>86</v>
      </c>
      <c r="J296" t="s">
        <v>87</v>
      </c>
      <c r="K296" t="s">
        <v>88</v>
      </c>
      <c r="L296" t="s">
        <v>27</v>
      </c>
      <c r="M296" t="s">
        <v>28</v>
      </c>
      <c r="N296" t="s">
        <v>40</v>
      </c>
      <c r="O296">
        <v>2</v>
      </c>
      <c r="P296">
        <v>2500</v>
      </c>
      <c r="Q296">
        <v>20</v>
      </c>
      <c r="R296">
        <v>4000</v>
      </c>
      <c r="S296">
        <v>570.80999999999995</v>
      </c>
      <c r="T296" t="s">
        <v>50</v>
      </c>
      <c r="U296" t="s">
        <v>51</v>
      </c>
      <c r="V296" t="s">
        <v>93</v>
      </c>
    </row>
    <row r="297" spans="1:22" x14ac:dyDescent="0.35">
      <c r="A297" t="s">
        <v>862</v>
      </c>
      <c r="B297" s="5">
        <v>45524</v>
      </c>
      <c r="C297" s="5" t="str">
        <f t="shared" si="9"/>
        <v>2024</v>
      </c>
      <c r="D297" s="5" t="str">
        <f t="shared" si="8"/>
        <v>August</v>
      </c>
      <c r="E297" t="s">
        <v>143</v>
      </c>
      <c r="F297" t="s">
        <v>441</v>
      </c>
      <c r="G297" t="s">
        <v>23</v>
      </c>
      <c r="H297">
        <v>35</v>
      </c>
      <c r="I297" t="s">
        <v>38</v>
      </c>
      <c r="J297" t="s">
        <v>39</v>
      </c>
      <c r="K297" t="s">
        <v>26</v>
      </c>
      <c r="L297" t="s">
        <v>27</v>
      </c>
      <c r="M297" t="s">
        <v>28</v>
      </c>
      <c r="N297" t="s">
        <v>73</v>
      </c>
      <c r="O297">
        <v>1</v>
      </c>
      <c r="P297">
        <v>25000</v>
      </c>
      <c r="Q297">
        <v>15</v>
      </c>
      <c r="R297">
        <v>21250</v>
      </c>
      <c r="S297">
        <v>3204.28</v>
      </c>
      <c r="T297" t="s">
        <v>81</v>
      </c>
      <c r="U297" t="s">
        <v>51</v>
      </c>
      <c r="V297" t="s">
        <v>52</v>
      </c>
    </row>
    <row r="298" spans="1:22" x14ac:dyDescent="0.35">
      <c r="A298" t="s">
        <v>863</v>
      </c>
      <c r="B298" s="5">
        <v>45327</v>
      </c>
      <c r="C298" s="5" t="str">
        <f t="shared" si="9"/>
        <v>2024</v>
      </c>
      <c r="D298" s="5" t="str">
        <f t="shared" si="8"/>
        <v>February</v>
      </c>
      <c r="E298" t="s">
        <v>497</v>
      </c>
      <c r="F298" t="s">
        <v>278</v>
      </c>
      <c r="G298" t="s">
        <v>23</v>
      </c>
      <c r="H298">
        <v>51</v>
      </c>
      <c r="I298" t="s">
        <v>114</v>
      </c>
      <c r="J298" t="s">
        <v>115</v>
      </c>
      <c r="K298" t="s">
        <v>88</v>
      </c>
      <c r="L298" t="s">
        <v>78</v>
      </c>
      <c r="M298" t="s">
        <v>79</v>
      </c>
      <c r="N298" t="s">
        <v>156</v>
      </c>
      <c r="O298">
        <v>3</v>
      </c>
      <c r="P298">
        <v>800</v>
      </c>
      <c r="Q298">
        <v>20</v>
      </c>
      <c r="R298">
        <v>1920</v>
      </c>
      <c r="S298">
        <v>432.32</v>
      </c>
      <c r="T298" t="s">
        <v>41</v>
      </c>
      <c r="U298" t="s">
        <v>51</v>
      </c>
      <c r="V298" t="s">
        <v>93</v>
      </c>
    </row>
    <row r="299" spans="1:22" x14ac:dyDescent="0.35">
      <c r="A299" t="s">
        <v>864</v>
      </c>
      <c r="B299" s="5">
        <v>45702</v>
      </c>
      <c r="C299" s="5" t="str">
        <f t="shared" si="9"/>
        <v>2025</v>
      </c>
      <c r="D299" s="5" t="str">
        <f t="shared" si="8"/>
        <v>February</v>
      </c>
      <c r="E299" t="s">
        <v>361</v>
      </c>
      <c r="F299" t="s">
        <v>852</v>
      </c>
      <c r="G299" t="s">
        <v>23</v>
      </c>
      <c r="H299">
        <v>28</v>
      </c>
      <c r="I299" t="s">
        <v>126</v>
      </c>
      <c r="J299" t="s">
        <v>127</v>
      </c>
      <c r="K299" t="s">
        <v>88</v>
      </c>
      <c r="L299" t="s">
        <v>78</v>
      </c>
      <c r="M299" t="s">
        <v>79</v>
      </c>
      <c r="N299" t="s">
        <v>101</v>
      </c>
      <c r="O299">
        <v>1</v>
      </c>
      <c r="P299">
        <v>3500</v>
      </c>
      <c r="Q299">
        <v>15</v>
      </c>
      <c r="R299">
        <v>2975</v>
      </c>
      <c r="S299">
        <v>782.41</v>
      </c>
      <c r="T299" t="s">
        <v>59</v>
      </c>
      <c r="U299" t="s">
        <v>51</v>
      </c>
      <c r="V299" t="s">
        <v>60</v>
      </c>
    </row>
    <row r="300" spans="1:22" x14ac:dyDescent="0.35">
      <c r="A300" t="s">
        <v>866</v>
      </c>
      <c r="B300" s="5">
        <v>45318</v>
      </c>
      <c r="C300" s="5" t="str">
        <f t="shared" si="9"/>
        <v>2024</v>
      </c>
      <c r="D300" s="5" t="str">
        <f t="shared" si="8"/>
        <v>January</v>
      </c>
      <c r="E300" t="s">
        <v>609</v>
      </c>
      <c r="F300" t="s">
        <v>643</v>
      </c>
      <c r="G300" t="s">
        <v>37</v>
      </c>
      <c r="H300">
        <v>34</v>
      </c>
      <c r="I300" t="s">
        <v>114</v>
      </c>
      <c r="J300" t="s">
        <v>115</v>
      </c>
      <c r="K300" t="s">
        <v>88</v>
      </c>
      <c r="L300" t="s">
        <v>78</v>
      </c>
      <c r="M300" t="s">
        <v>79</v>
      </c>
      <c r="N300" t="s">
        <v>101</v>
      </c>
      <c r="O300">
        <v>3</v>
      </c>
      <c r="P300">
        <v>3500</v>
      </c>
      <c r="Q300">
        <v>15</v>
      </c>
      <c r="R300">
        <v>8925</v>
      </c>
      <c r="S300">
        <v>1669.36</v>
      </c>
      <c r="T300" t="s">
        <v>59</v>
      </c>
      <c r="U300" t="s">
        <v>92</v>
      </c>
      <c r="V300" t="s">
        <v>93</v>
      </c>
    </row>
    <row r="301" spans="1:22" x14ac:dyDescent="0.35">
      <c r="A301" t="s">
        <v>867</v>
      </c>
      <c r="B301" s="5">
        <v>45630</v>
      </c>
      <c r="C301" s="5" t="str">
        <f t="shared" si="9"/>
        <v>2024</v>
      </c>
      <c r="D301" s="5" t="str">
        <f t="shared" si="8"/>
        <v>December</v>
      </c>
      <c r="E301" t="s">
        <v>736</v>
      </c>
      <c r="F301" t="s">
        <v>22</v>
      </c>
      <c r="G301" t="s">
        <v>37</v>
      </c>
      <c r="H301">
        <v>59</v>
      </c>
      <c r="I301" t="s">
        <v>86</v>
      </c>
      <c r="J301" t="s">
        <v>87</v>
      </c>
      <c r="K301" t="s">
        <v>88</v>
      </c>
      <c r="L301" t="s">
        <v>27</v>
      </c>
      <c r="M301" t="s">
        <v>28</v>
      </c>
      <c r="N301" t="s">
        <v>73</v>
      </c>
      <c r="O301">
        <v>4</v>
      </c>
      <c r="P301">
        <v>25000</v>
      </c>
      <c r="Q301">
        <v>5</v>
      </c>
      <c r="R301">
        <v>95000</v>
      </c>
      <c r="S301">
        <v>10121.24</v>
      </c>
      <c r="T301" t="s">
        <v>30</v>
      </c>
      <c r="U301" t="s">
        <v>92</v>
      </c>
      <c r="V301" t="s">
        <v>65</v>
      </c>
    </row>
    <row r="302" spans="1:22" x14ac:dyDescent="0.35">
      <c r="A302" t="s">
        <v>869</v>
      </c>
      <c r="B302" s="5">
        <v>45818</v>
      </c>
      <c r="C302" s="5" t="str">
        <f t="shared" si="9"/>
        <v>2025</v>
      </c>
      <c r="D302" s="5" t="str">
        <f t="shared" si="8"/>
        <v>June</v>
      </c>
      <c r="E302" t="s">
        <v>112</v>
      </c>
      <c r="F302" t="s">
        <v>602</v>
      </c>
      <c r="G302" t="s">
        <v>37</v>
      </c>
      <c r="H302">
        <v>43</v>
      </c>
      <c r="I302" t="s">
        <v>86</v>
      </c>
      <c r="J302" t="s">
        <v>87</v>
      </c>
      <c r="K302" t="s">
        <v>88</v>
      </c>
      <c r="L302" t="s">
        <v>47</v>
      </c>
      <c r="M302" t="s">
        <v>48</v>
      </c>
      <c r="N302" t="s">
        <v>116</v>
      </c>
      <c r="O302">
        <v>5</v>
      </c>
      <c r="P302">
        <v>120</v>
      </c>
      <c r="Q302">
        <v>10</v>
      </c>
      <c r="R302">
        <v>540</v>
      </c>
      <c r="S302">
        <v>75.67</v>
      </c>
      <c r="T302" t="s">
        <v>30</v>
      </c>
      <c r="U302" t="s">
        <v>31</v>
      </c>
      <c r="V302" t="s">
        <v>117</v>
      </c>
    </row>
    <row r="303" spans="1:22" x14ac:dyDescent="0.35">
      <c r="A303" t="s">
        <v>871</v>
      </c>
      <c r="B303" s="5">
        <v>45735</v>
      </c>
      <c r="C303" s="5" t="str">
        <f t="shared" si="9"/>
        <v>2025</v>
      </c>
      <c r="D303" s="5" t="str">
        <f t="shared" si="8"/>
        <v>March</v>
      </c>
      <c r="E303" t="s">
        <v>429</v>
      </c>
      <c r="F303" t="s">
        <v>833</v>
      </c>
      <c r="G303" t="s">
        <v>23</v>
      </c>
      <c r="H303">
        <v>48</v>
      </c>
      <c r="I303" t="s">
        <v>114</v>
      </c>
      <c r="J303" t="s">
        <v>115</v>
      </c>
      <c r="K303" t="s">
        <v>88</v>
      </c>
      <c r="L303" t="s">
        <v>27</v>
      </c>
      <c r="M303" t="s">
        <v>28</v>
      </c>
      <c r="N303" t="s">
        <v>29</v>
      </c>
      <c r="O303">
        <v>4</v>
      </c>
      <c r="P303">
        <v>12000</v>
      </c>
      <c r="Q303">
        <v>20</v>
      </c>
      <c r="R303">
        <v>38400</v>
      </c>
      <c r="S303">
        <v>6650.79</v>
      </c>
      <c r="T303" t="s">
        <v>81</v>
      </c>
      <c r="U303" t="s">
        <v>51</v>
      </c>
      <c r="V303" t="s">
        <v>60</v>
      </c>
    </row>
    <row r="304" spans="1:22" x14ac:dyDescent="0.35">
      <c r="A304" t="s">
        <v>873</v>
      </c>
      <c r="B304" s="5">
        <v>45599</v>
      </c>
      <c r="C304" s="5" t="str">
        <f t="shared" si="9"/>
        <v>2024</v>
      </c>
      <c r="D304" s="5" t="str">
        <f t="shared" si="8"/>
        <v>November</v>
      </c>
      <c r="E304" t="s">
        <v>707</v>
      </c>
      <c r="F304" t="s">
        <v>874</v>
      </c>
      <c r="G304" t="s">
        <v>23</v>
      </c>
      <c r="H304">
        <v>56</v>
      </c>
      <c r="I304" t="s">
        <v>126</v>
      </c>
      <c r="J304" t="s">
        <v>127</v>
      </c>
      <c r="K304" t="s">
        <v>88</v>
      </c>
      <c r="L304" t="s">
        <v>47</v>
      </c>
      <c r="M304" t="s">
        <v>48</v>
      </c>
      <c r="N304" t="s">
        <v>215</v>
      </c>
      <c r="O304">
        <v>2</v>
      </c>
      <c r="P304">
        <v>450</v>
      </c>
      <c r="Q304">
        <v>10</v>
      </c>
      <c r="R304">
        <v>810</v>
      </c>
      <c r="S304">
        <v>225.74</v>
      </c>
      <c r="T304" t="s">
        <v>41</v>
      </c>
      <c r="U304" t="s">
        <v>51</v>
      </c>
      <c r="V304" t="s">
        <v>65</v>
      </c>
    </row>
    <row r="305" spans="1:22" x14ac:dyDescent="0.35">
      <c r="A305" t="s">
        <v>875</v>
      </c>
      <c r="B305" s="5">
        <v>45426</v>
      </c>
      <c r="C305" s="5" t="str">
        <f t="shared" si="9"/>
        <v>2024</v>
      </c>
      <c r="D305" s="5" t="str">
        <f t="shared" si="8"/>
        <v>May</v>
      </c>
      <c r="E305" t="s">
        <v>542</v>
      </c>
      <c r="F305" t="s">
        <v>877</v>
      </c>
      <c r="G305" t="s">
        <v>23</v>
      </c>
      <c r="H305">
        <v>50</v>
      </c>
      <c r="I305" t="s">
        <v>46</v>
      </c>
      <c r="J305" t="s">
        <v>25</v>
      </c>
      <c r="K305" t="s">
        <v>26</v>
      </c>
      <c r="L305" t="s">
        <v>89</v>
      </c>
      <c r="M305" t="s">
        <v>90</v>
      </c>
      <c r="N305" t="s">
        <v>128</v>
      </c>
      <c r="O305">
        <v>3</v>
      </c>
      <c r="P305">
        <v>7000</v>
      </c>
      <c r="Q305">
        <v>5</v>
      </c>
      <c r="R305">
        <v>19950</v>
      </c>
      <c r="S305">
        <v>3197.56</v>
      </c>
      <c r="T305" t="s">
        <v>41</v>
      </c>
      <c r="U305" t="s">
        <v>51</v>
      </c>
      <c r="V305" t="s">
        <v>60</v>
      </c>
    </row>
    <row r="306" spans="1:22" x14ac:dyDescent="0.35">
      <c r="A306" t="s">
        <v>878</v>
      </c>
      <c r="B306" s="5">
        <v>45467</v>
      </c>
      <c r="C306" s="5" t="str">
        <f t="shared" si="9"/>
        <v>2024</v>
      </c>
      <c r="D306" s="5" t="str">
        <f t="shared" si="8"/>
        <v>June</v>
      </c>
      <c r="E306" t="s">
        <v>494</v>
      </c>
      <c r="F306" t="s">
        <v>677</v>
      </c>
      <c r="G306" t="s">
        <v>37</v>
      </c>
      <c r="H306">
        <v>21</v>
      </c>
      <c r="I306" t="s">
        <v>126</v>
      </c>
      <c r="J306" t="s">
        <v>127</v>
      </c>
      <c r="K306" t="s">
        <v>88</v>
      </c>
      <c r="L306" t="s">
        <v>47</v>
      </c>
      <c r="M306" t="s">
        <v>48</v>
      </c>
      <c r="N306" t="s">
        <v>49</v>
      </c>
      <c r="O306">
        <v>1</v>
      </c>
      <c r="P306">
        <v>150</v>
      </c>
      <c r="Q306">
        <v>10</v>
      </c>
      <c r="R306">
        <v>135</v>
      </c>
      <c r="S306">
        <v>23.1</v>
      </c>
      <c r="T306" t="s">
        <v>41</v>
      </c>
      <c r="U306" t="s">
        <v>51</v>
      </c>
      <c r="V306" t="s">
        <v>52</v>
      </c>
    </row>
    <row r="307" spans="1:22" x14ac:dyDescent="0.35">
      <c r="A307" t="s">
        <v>879</v>
      </c>
      <c r="B307" s="5">
        <v>45301</v>
      </c>
      <c r="C307" s="5" t="str">
        <f t="shared" si="9"/>
        <v>2024</v>
      </c>
      <c r="D307" s="5" t="str">
        <f t="shared" si="8"/>
        <v>January</v>
      </c>
      <c r="E307" t="s">
        <v>508</v>
      </c>
      <c r="F307" t="s">
        <v>113</v>
      </c>
      <c r="G307" t="s">
        <v>37</v>
      </c>
      <c r="H307">
        <v>35</v>
      </c>
      <c r="I307" t="s">
        <v>46</v>
      </c>
      <c r="J307" t="s">
        <v>25</v>
      </c>
      <c r="K307" t="s">
        <v>26</v>
      </c>
      <c r="L307" t="s">
        <v>27</v>
      </c>
      <c r="M307" t="s">
        <v>28</v>
      </c>
      <c r="N307" t="s">
        <v>140</v>
      </c>
      <c r="O307">
        <v>3</v>
      </c>
      <c r="P307">
        <v>65000</v>
      </c>
      <c r="Q307">
        <v>10</v>
      </c>
      <c r="R307">
        <v>175500</v>
      </c>
      <c r="S307">
        <v>25812.28</v>
      </c>
      <c r="T307" t="s">
        <v>41</v>
      </c>
      <c r="U307" t="s">
        <v>92</v>
      </c>
      <c r="V307" t="s">
        <v>60</v>
      </c>
    </row>
    <row r="308" spans="1:22" x14ac:dyDescent="0.35">
      <c r="A308" t="s">
        <v>880</v>
      </c>
      <c r="B308" s="5">
        <v>45376</v>
      </c>
      <c r="C308" s="5" t="str">
        <f t="shared" si="9"/>
        <v>2024</v>
      </c>
      <c r="D308" s="5" t="str">
        <f t="shared" si="8"/>
        <v>March</v>
      </c>
      <c r="E308" t="s">
        <v>171</v>
      </c>
      <c r="F308" t="s">
        <v>230</v>
      </c>
      <c r="G308" t="s">
        <v>23</v>
      </c>
      <c r="H308">
        <v>32</v>
      </c>
      <c r="I308" t="s">
        <v>57</v>
      </c>
      <c r="J308" t="s">
        <v>57</v>
      </c>
      <c r="K308" t="s">
        <v>58</v>
      </c>
      <c r="L308" t="s">
        <v>89</v>
      </c>
      <c r="M308" t="s">
        <v>90</v>
      </c>
      <c r="N308" t="s">
        <v>128</v>
      </c>
      <c r="O308">
        <v>4</v>
      </c>
      <c r="P308">
        <v>7000</v>
      </c>
      <c r="Q308">
        <v>0</v>
      </c>
      <c r="R308">
        <v>28000</v>
      </c>
      <c r="S308">
        <v>2907.23</v>
      </c>
      <c r="T308" t="s">
        <v>59</v>
      </c>
      <c r="U308" t="s">
        <v>31</v>
      </c>
      <c r="V308" t="s">
        <v>117</v>
      </c>
    </row>
    <row r="309" spans="1:22" x14ac:dyDescent="0.35">
      <c r="A309" t="s">
        <v>881</v>
      </c>
      <c r="B309" s="5">
        <v>45714</v>
      </c>
      <c r="C309" s="5" t="str">
        <f t="shared" si="9"/>
        <v>2025</v>
      </c>
      <c r="D309" s="5" t="str">
        <f t="shared" si="8"/>
        <v>February</v>
      </c>
      <c r="E309" t="s">
        <v>260</v>
      </c>
      <c r="F309" t="s">
        <v>883</v>
      </c>
      <c r="G309" t="s">
        <v>23</v>
      </c>
      <c r="H309">
        <v>52</v>
      </c>
      <c r="I309" t="s">
        <v>46</v>
      </c>
      <c r="J309" t="s">
        <v>25</v>
      </c>
      <c r="K309" t="s">
        <v>26</v>
      </c>
      <c r="L309" t="s">
        <v>78</v>
      </c>
      <c r="M309" t="s">
        <v>79</v>
      </c>
      <c r="N309" t="s">
        <v>156</v>
      </c>
      <c r="O309">
        <v>1</v>
      </c>
      <c r="P309">
        <v>800</v>
      </c>
      <c r="Q309">
        <v>5</v>
      </c>
      <c r="R309">
        <v>760</v>
      </c>
      <c r="S309">
        <v>106.48</v>
      </c>
      <c r="T309" t="s">
        <v>41</v>
      </c>
      <c r="U309" t="s">
        <v>51</v>
      </c>
      <c r="V309" t="s">
        <v>93</v>
      </c>
    </row>
    <row r="310" spans="1:22" x14ac:dyDescent="0.35">
      <c r="A310" t="s">
        <v>884</v>
      </c>
      <c r="B310" s="5">
        <v>45799</v>
      </c>
      <c r="C310" s="5" t="str">
        <f t="shared" si="9"/>
        <v>2025</v>
      </c>
      <c r="D310" s="5" t="str">
        <f t="shared" si="8"/>
        <v>May</v>
      </c>
      <c r="E310" t="s">
        <v>376</v>
      </c>
      <c r="F310" t="s">
        <v>362</v>
      </c>
      <c r="G310" t="s">
        <v>23</v>
      </c>
      <c r="H310">
        <v>40</v>
      </c>
      <c r="I310" t="s">
        <v>46</v>
      </c>
      <c r="J310" t="s">
        <v>25</v>
      </c>
      <c r="K310" t="s">
        <v>26</v>
      </c>
      <c r="L310" t="s">
        <v>27</v>
      </c>
      <c r="M310" t="s">
        <v>28</v>
      </c>
      <c r="N310" t="s">
        <v>73</v>
      </c>
      <c r="O310">
        <v>3</v>
      </c>
      <c r="P310">
        <v>25000</v>
      </c>
      <c r="Q310">
        <v>0</v>
      </c>
      <c r="R310">
        <v>75000</v>
      </c>
      <c r="S310">
        <v>19488.509999999998</v>
      </c>
      <c r="T310" t="s">
        <v>30</v>
      </c>
      <c r="U310" t="s">
        <v>51</v>
      </c>
      <c r="V310" t="s">
        <v>32</v>
      </c>
    </row>
    <row r="311" spans="1:22" x14ac:dyDescent="0.35">
      <c r="A311" t="s">
        <v>886</v>
      </c>
      <c r="B311" s="5">
        <v>45414</v>
      </c>
      <c r="C311" s="5" t="str">
        <f t="shared" si="9"/>
        <v>2024</v>
      </c>
      <c r="D311" s="5" t="str">
        <f t="shared" si="8"/>
        <v>May</v>
      </c>
      <c r="E311" t="s">
        <v>214</v>
      </c>
      <c r="F311" t="s">
        <v>827</v>
      </c>
      <c r="G311" t="s">
        <v>23</v>
      </c>
      <c r="H311">
        <v>22</v>
      </c>
      <c r="I311" t="s">
        <v>46</v>
      </c>
      <c r="J311" t="s">
        <v>25</v>
      </c>
      <c r="K311" t="s">
        <v>26</v>
      </c>
      <c r="L311" t="s">
        <v>78</v>
      </c>
      <c r="M311" t="s">
        <v>79</v>
      </c>
      <c r="N311" t="s">
        <v>156</v>
      </c>
      <c r="O311">
        <v>2</v>
      </c>
      <c r="P311">
        <v>800</v>
      </c>
      <c r="Q311">
        <v>0</v>
      </c>
      <c r="R311">
        <v>1600</v>
      </c>
      <c r="S311">
        <v>339.33</v>
      </c>
      <c r="T311" t="s">
        <v>81</v>
      </c>
      <c r="U311" t="s">
        <v>51</v>
      </c>
      <c r="V311" t="s">
        <v>52</v>
      </c>
    </row>
    <row r="312" spans="1:22" x14ac:dyDescent="0.35">
      <c r="A312" t="s">
        <v>887</v>
      </c>
      <c r="B312" s="5">
        <v>45720</v>
      </c>
      <c r="C312" s="5" t="str">
        <f t="shared" si="9"/>
        <v>2025</v>
      </c>
      <c r="D312" s="5" t="str">
        <f t="shared" si="8"/>
        <v>March</v>
      </c>
      <c r="E312" t="s">
        <v>185</v>
      </c>
      <c r="F312" t="s">
        <v>358</v>
      </c>
      <c r="G312" t="s">
        <v>37</v>
      </c>
      <c r="H312">
        <v>53</v>
      </c>
      <c r="I312" t="s">
        <v>46</v>
      </c>
      <c r="J312" t="s">
        <v>25</v>
      </c>
      <c r="K312" t="s">
        <v>26</v>
      </c>
      <c r="L312" t="s">
        <v>89</v>
      </c>
      <c r="M312" t="s">
        <v>90</v>
      </c>
      <c r="N312" t="s">
        <v>91</v>
      </c>
      <c r="O312">
        <v>3</v>
      </c>
      <c r="P312">
        <v>9000</v>
      </c>
      <c r="Q312">
        <v>20</v>
      </c>
      <c r="R312">
        <v>21600</v>
      </c>
      <c r="S312">
        <v>2456.58</v>
      </c>
      <c r="T312" t="s">
        <v>81</v>
      </c>
      <c r="U312" t="s">
        <v>92</v>
      </c>
      <c r="V312" t="s">
        <v>60</v>
      </c>
    </row>
    <row r="313" spans="1:22" x14ac:dyDescent="0.35">
      <c r="A313" t="s">
        <v>889</v>
      </c>
      <c r="B313" s="5">
        <v>45587</v>
      </c>
      <c r="C313" s="5" t="str">
        <f t="shared" si="9"/>
        <v>2024</v>
      </c>
      <c r="D313" s="5" t="str">
        <f t="shared" si="8"/>
        <v>October</v>
      </c>
      <c r="E313" t="s">
        <v>124</v>
      </c>
      <c r="F313" t="s">
        <v>437</v>
      </c>
      <c r="G313" t="s">
        <v>23</v>
      </c>
      <c r="H313">
        <v>32</v>
      </c>
      <c r="I313" t="s">
        <v>24</v>
      </c>
      <c r="J313" t="s">
        <v>25</v>
      </c>
      <c r="K313" t="s">
        <v>26</v>
      </c>
      <c r="L313" t="s">
        <v>27</v>
      </c>
      <c r="M313" t="s">
        <v>28</v>
      </c>
      <c r="N313" t="s">
        <v>140</v>
      </c>
      <c r="O313">
        <v>2</v>
      </c>
      <c r="P313">
        <v>65000</v>
      </c>
      <c r="Q313">
        <v>5</v>
      </c>
      <c r="R313">
        <v>123500</v>
      </c>
      <c r="S313">
        <v>32179.86</v>
      </c>
      <c r="T313" t="s">
        <v>59</v>
      </c>
      <c r="U313" t="s">
        <v>51</v>
      </c>
      <c r="V313" t="s">
        <v>117</v>
      </c>
    </row>
    <row r="314" spans="1:22" x14ac:dyDescent="0.35">
      <c r="A314" t="s">
        <v>890</v>
      </c>
      <c r="B314" s="5">
        <v>45407</v>
      </c>
      <c r="C314" s="5" t="str">
        <f t="shared" si="9"/>
        <v>2024</v>
      </c>
      <c r="D314" s="5" t="str">
        <f t="shared" si="8"/>
        <v>April</v>
      </c>
      <c r="E314" t="s">
        <v>357</v>
      </c>
      <c r="F314" t="s">
        <v>786</v>
      </c>
      <c r="G314" t="s">
        <v>23</v>
      </c>
      <c r="H314">
        <v>27</v>
      </c>
      <c r="I314" t="s">
        <v>46</v>
      </c>
      <c r="J314" t="s">
        <v>25</v>
      </c>
      <c r="K314" t="s">
        <v>26</v>
      </c>
      <c r="L314" t="s">
        <v>89</v>
      </c>
      <c r="M314" t="s">
        <v>90</v>
      </c>
      <c r="N314" t="s">
        <v>242</v>
      </c>
      <c r="O314">
        <v>4</v>
      </c>
      <c r="P314">
        <v>6000</v>
      </c>
      <c r="Q314">
        <v>15</v>
      </c>
      <c r="R314">
        <v>20400</v>
      </c>
      <c r="S314">
        <v>4599.45</v>
      </c>
      <c r="T314" t="s">
        <v>50</v>
      </c>
      <c r="U314" t="s">
        <v>92</v>
      </c>
      <c r="V314" t="s">
        <v>65</v>
      </c>
    </row>
    <row r="315" spans="1:22" x14ac:dyDescent="0.35">
      <c r="A315" t="s">
        <v>891</v>
      </c>
      <c r="B315" s="5">
        <v>45462</v>
      </c>
      <c r="C315" s="5" t="str">
        <f t="shared" si="9"/>
        <v>2024</v>
      </c>
      <c r="D315" s="5" t="str">
        <f t="shared" si="8"/>
        <v>June</v>
      </c>
      <c r="E315" t="s">
        <v>893</v>
      </c>
      <c r="F315" t="s">
        <v>365</v>
      </c>
      <c r="G315" t="s">
        <v>23</v>
      </c>
      <c r="H315">
        <v>26</v>
      </c>
      <c r="I315" t="s">
        <v>46</v>
      </c>
      <c r="J315" t="s">
        <v>25</v>
      </c>
      <c r="K315" t="s">
        <v>26</v>
      </c>
      <c r="L315" t="s">
        <v>78</v>
      </c>
      <c r="M315" t="s">
        <v>79</v>
      </c>
      <c r="N315" t="s">
        <v>156</v>
      </c>
      <c r="O315">
        <v>3</v>
      </c>
      <c r="P315">
        <v>800</v>
      </c>
      <c r="Q315">
        <v>10</v>
      </c>
      <c r="R315">
        <v>2160</v>
      </c>
      <c r="S315">
        <v>434.46</v>
      </c>
      <c r="T315" t="s">
        <v>30</v>
      </c>
      <c r="U315" t="s">
        <v>31</v>
      </c>
      <c r="V315" t="s">
        <v>52</v>
      </c>
    </row>
    <row r="316" spans="1:22" x14ac:dyDescent="0.35">
      <c r="A316" t="s">
        <v>894</v>
      </c>
      <c r="B316" s="5">
        <v>45599</v>
      </c>
      <c r="C316" s="5" t="str">
        <f t="shared" si="9"/>
        <v>2024</v>
      </c>
      <c r="D316" s="5" t="str">
        <f t="shared" si="8"/>
        <v>November</v>
      </c>
      <c r="E316" t="s">
        <v>84</v>
      </c>
      <c r="F316" t="s">
        <v>581</v>
      </c>
      <c r="G316" t="s">
        <v>23</v>
      </c>
      <c r="H316">
        <v>26</v>
      </c>
      <c r="I316" t="s">
        <v>57</v>
      </c>
      <c r="J316" t="s">
        <v>57</v>
      </c>
      <c r="K316" t="s">
        <v>58</v>
      </c>
      <c r="L316" t="s">
        <v>89</v>
      </c>
      <c r="M316" t="s">
        <v>90</v>
      </c>
      <c r="N316" t="s">
        <v>91</v>
      </c>
      <c r="O316">
        <v>4</v>
      </c>
      <c r="P316">
        <v>9000</v>
      </c>
      <c r="Q316">
        <v>15</v>
      </c>
      <c r="R316">
        <v>30600</v>
      </c>
      <c r="S316">
        <v>4643.93</v>
      </c>
      <c r="T316" t="s">
        <v>41</v>
      </c>
      <c r="U316" t="s">
        <v>51</v>
      </c>
      <c r="V316" t="s">
        <v>32</v>
      </c>
    </row>
    <row r="317" spans="1:22" x14ac:dyDescent="0.35">
      <c r="A317" t="s">
        <v>895</v>
      </c>
      <c r="B317" s="5">
        <v>45644</v>
      </c>
      <c r="C317" s="5" t="str">
        <f t="shared" si="9"/>
        <v>2024</v>
      </c>
      <c r="D317" s="5" t="str">
        <f t="shared" si="8"/>
        <v>December</v>
      </c>
      <c r="E317" t="s">
        <v>554</v>
      </c>
      <c r="F317" t="s">
        <v>182</v>
      </c>
      <c r="G317" t="s">
        <v>23</v>
      </c>
      <c r="H317">
        <v>45</v>
      </c>
      <c r="I317" t="s">
        <v>24</v>
      </c>
      <c r="J317" t="s">
        <v>25</v>
      </c>
      <c r="K317" t="s">
        <v>26</v>
      </c>
      <c r="L317" t="s">
        <v>27</v>
      </c>
      <c r="M317" t="s">
        <v>28</v>
      </c>
      <c r="N317" t="s">
        <v>29</v>
      </c>
      <c r="O317">
        <v>3</v>
      </c>
      <c r="P317">
        <v>12000</v>
      </c>
      <c r="Q317">
        <v>15</v>
      </c>
      <c r="R317">
        <v>30600</v>
      </c>
      <c r="S317">
        <v>6550.65</v>
      </c>
      <c r="T317" t="s">
        <v>59</v>
      </c>
      <c r="U317" t="s">
        <v>51</v>
      </c>
      <c r="V317" t="s">
        <v>52</v>
      </c>
    </row>
    <row r="318" spans="1:22" x14ac:dyDescent="0.35">
      <c r="A318" t="s">
        <v>896</v>
      </c>
      <c r="B318" s="5">
        <v>45639</v>
      </c>
      <c r="C318" s="5" t="str">
        <f t="shared" si="9"/>
        <v>2024</v>
      </c>
      <c r="D318" s="5" t="str">
        <f t="shared" si="8"/>
        <v>December</v>
      </c>
      <c r="E318" t="s">
        <v>601</v>
      </c>
      <c r="F318" t="s">
        <v>238</v>
      </c>
      <c r="G318" t="s">
        <v>37</v>
      </c>
      <c r="H318">
        <v>46</v>
      </c>
      <c r="I318" t="s">
        <v>114</v>
      </c>
      <c r="J318" t="s">
        <v>115</v>
      </c>
      <c r="K318" t="s">
        <v>88</v>
      </c>
      <c r="L318" t="s">
        <v>89</v>
      </c>
      <c r="M318" t="s">
        <v>90</v>
      </c>
      <c r="N318" t="s">
        <v>242</v>
      </c>
      <c r="O318">
        <v>5</v>
      </c>
      <c r="P318">
        <v>6000</v>
      </c>
      <c r="Q318">
        <v>0</v>
      </c>
      <c r="R318">
        <v>30000</v>
      </c>
      <c r="S318">
        <v>3924.67</v>
      </c>
      <c r="T318" t="s">
        <v>41</v>
      </c>
      <c r="U318" t="s">
        <v>51</v>
      </c>
      <c r="V318" t="s">
        <v>65</v>
      </c>
    </row>
    <row r="319" spans="1:22" x14ac:dyDescent="0.35">
      <c r="A319" t="s">
        <v>898</v>
      </c>
      <c r="B319" s="5">
        <v>45393</v>
      </c>
      <c r="C319" s="5" t="str">
        <f t="shared" si="9"/>
        <v>2024</v>
      </c>
      <c r="D319" s="5" t="str">
        <f t="shared" si="8"/>
        <v>April</v>
      </c>
      <c r="E319" t="s">
        <v>839</v>
      </c>
      <c r="F319" t="s">
        <v>639</v>
      </c>
      <c r="G319" t="s">
        <v>37</v>
      </c>
      <c r="H319">
        <v>25</v>
      </c>
      <c r="I319" t="s">
        <v>98</v>
      </c>
      <c r="J319" t="s">
        <v>99</v>
      </c>
      <c r="K319" t="s">
        <v>100</v>
      </c>
      <c r="L319" t="s">
        <v>27</v>
      </c>
      <c r="M319" t="s">
        <v>28</v>
      </c>
      <c r="N319" t="s">
        <v>140</v>
      </c>
      <c r="O319">
        <v>4</v>
      </c>
      <c r="P319">
        <v>65000</v>
      </c>
      <c r="Q319">
        <v>5</v>
      </c>
      <c r="R319">
        <v>247000</v>
      </c>
      <c r="S319">
        <v>55968.86</v>
      </c>
      <c r="T319" t="s">
        <v>30</v>
      </c>
      <c r="U319" t="s">
        <v>92</v>
      </c>
      <c r="V319" t="s">
        <v>93</v>
      </c>
    </row>
    <row r="320" spans="1:22" x14ac:dyDescent="0.35">
      <c r="A320" t="s">
        <v>900</v>
      </c>
      <c r="B320" s="5">
        <v>45524</v>
      </c>
      <c r="C320" s="5" t="str">
        <f t="shared" si="9"/>
        <v>2024</v>
      </c>
      <c r="D320" s="5" t="str">
        <f t="shared" si="8"/>
        <v>August</v>
      </c>
      <c r="E320" t="s">
        <v>554</v>
      </c>
      <c r="F320" t="s">
        <v>560</v>
      </c>
      <c r="G320" t="s">
        <v>23</v>
      </c>
      <c r="H320">
        <v>36</v>
      </c>
      <c r="I320" t="s">
        <v>86</v>
      </c>
      <c r="J320" t="s">
        <v>87</v>
      </c>
      <c r="K320" t="s">
        <v>88</v>
      </c>
      <c r="L320" t="s">
        <v>47</v>
      </c>
      <c r="M320" t="s">
        <v>48</v>
      </c>
      <c r="N320" t="s">
        <v>49</v>
      </c>
      <c r="O320">
        <v>2</v>
      </c>
      <c r="P320">
        <v>150</v>
      </c>
      <c r="Q320">
        <v>15</v>
      </c>
      <c r="R320">
        <v>255</v>
      </c>
      <c r="S320">
        <v>31.87</v>
      </c>
      <c r="T320" t="s">
        <v>50</v>
      </c>
      <c r="U320" t="s">
        <v>92</v>
      </c>
      <c r="V320" t="s">
        <v>93</v>
      </c>
    </row>
    <row r="321" spans="1:22" x14ac:dyDescent="0.35">
      <c r="A321" t="s">
        <v>901</v>
      </c>
      <c r="B321" s="5">
        <v>45598</v>
      </c>
      <c r="C321" s="5" t="str">
        <f t="shared" si="9"/>
        <v>2024</v>
      </c>
      <c r="D321" s="5" t="str">
        <f t="shared" si="8"/>
        <v>November</v>
      </c>
      <c r="E321" t="s">
        <v>84</v>
      </c>
      <c r="F321" t="s">
        <v>903</v>
      </c>
      <c r="G321" t="s">
        <v>23</v>
      </c>
      <c r="H321">
        <v>24</v>
      </c>
      <c r="I321" t="s">
        <v>24</v>
      </c>
      <c r="J321" t="s">
        <v>25</v>
      </c>
      <c r="K321" t="s">
        <v>26</v>
      </c>
      <c r="L321" t="s">
        <v>47</v>
      </c>
      <c r="M321" t="s">
        <v>48</v>
      </c>
      <c r="N321" t="s">
        <v>49</v>
      </c>
      <c r="O321">
        <v>5</v>
      </c>
      <c r="P321">
        <v>150</v>
      </c>
      <c r="Q321">
        <v>15</v>
      </c>
      <c r="R321">
        <v>637.5</v>
      </c>
      <c r="S321">
        <v>101.03</v>
      </c>
      <c r="T321" t="s">
        <v>50</v>
      </c>
      <c r="U321" t="s">
        <v>51</v>
      </c>
      <c r="V321" t="s">
        <v>117</v>
      </c>
    </row>
    <row r="322" spans="1:22" x14ac:dyDescent="0.35">
      <c r="A322" t="s">
        <v>904</v>
      </c>
      <c r="B322" s="5">
        <v>45353</v>
      </c>
      <c r="C322" s="5" t="str">
        <f t="shared" si="9"/>
        <v>2024</v>
      </c>
      <c r="D322" s="5" t="str">
        <f t="shared" ref="D322:D385" si="10">TEXT(B322,"mmmm")</f>
        <v>March</v>
      </c>
      <c r="E322" t="s">
        <v>104</v>
      </c>
      <c r="F322" t="s">
        <v>581</v>
      </c>
      <c r="G322" t="s">
        <v>23</v>
      </c>
      <c r="H322">
        <v>50</v>
      </c>
      <c r="I322" t="s">
        <v>24</v>
      </c>
      <c r="J322" t="s">
        <v>25</v>
      </c>
      <c r="K322" t="s">
        <v>26</v>
      </c>
      <c r="L322" t="s">
        <v>47</v>
      </c>
      <c r="M322" t="s">
        <v>48</v>
      </c>
      <c r="N322" t="s">
        <v>116</v>
      </c>
      <c r="O322">
        <v>3</v>
      </c>
      <c r="P322">
        <v>120</v>
      </c>
      <c r="Q322">
        <v>15</v>
      </c>
      <c r="R322">
        <v>306</v>
      </c>
      <c r="S322">
        <v>35.39</v>
      </c>
      <c r="T322" t="s">
        <v>50</v>
      </c>
      <c r="U322" t="s">
        <v>51</v>
      </c>
      <c r="V322" t="s">
        <v>52</v>
      </c>
    </row>
    <row r="323" spans="1:22" x14ac:dyDescent="0.35">
      <c r="A323" t="s">
        <v>906</v>
      </c>
      <c r="B323" s="5">
        <v>45652</v>
      </c>
      <c r="C323" s="5" t="str">
        <f t="shared" ref="C323:C386" si="11">TEXT(B323,"YYYY")</f>
        <v>2024</v>
      </c>
      <c r="D323" s="5" t="str">
        <f t="shared" si="10"/>
        <v>December</v>
      </c>
      <c r="E323" t="s">
        <v>84</v>
      </c>
      <c r="F323" t="s">
        <v>801</v>
      </c>
      <c r="G323" t="s">
        <v>23</v>
      </c>
      <c r="H323">
        <v>20</v>
      </c>
      <c r="I323" t="s">
        <v>98</v>
      </c>
      <c r="J323" t="s">
        <v>99</v>
      </c>
      <c r="K323" t="s">
        <v>100</v>
      </c>
      <c r="L323" t="s">
        <v>89</v>
      </c>
      <c r="M323" t="s">
        <v>90</v>
      </c>
      <c r="N323" t="s">
        <v>128</v>
      </c>
      <c r="O323">
        <v>2</v>
      </c>
      <c r="P323">
        <v>7000</v>
      </c>
      <c r="Q323">
        <v>20</v>
      </c>
      <c r="R323">
        <v>11200</v>
      </c>
      <c r="S323">
        <v>3043.75</v>
      </c>
      <c r="T323" t="s">
        <v>50</v>
      </c>
      <c r="U323" t="s">
        <v>51</v>
      </c>
      <c r="V323" t="s">
        <v>60</v>
      </c>
    </row>
    <row r="324" spans="1:22" x14ac:dyDescent="0.35">
      <c r="A324" t="s">
        <v>907</v>
      </c>
      <c r="B324" s="5">
        <v>45479</v>
      </c>
      <c r="C324" s="5" t="str">
        <f t="shared" si="11"/>
        <v>2024</v>
      </c>
      <c r="D324" s="5" t="str">
        <f t="shared" si="10"/>
        <v>July</v>
      </c>
      <c r="E324" t="s">
        <v>909</v>
      </c>
      <c r="F324" t="s">
        <v>511</v>
      </c>
      <c r="G324" t="s">
        <v>23</v>
      </c>
      <c r="H324">
        <v>47</v>
      </c>
      <c r="I324" t="s">
        <v>126</v>
      </c>
      <c r="J324" t="s">
        <v>127</v>
      </c>
      <c r="K324" t="s">
        <v>88</v>
      </c>
      <c r="L324" t="s">
        <v>78</v>
      </c>
      <c r="M324" t="s">
        <v>79</v>
      </c>
      <c r="N324" t="s">
        <v>80</v>
      </c>
      <c r="O324">
        <v>5</v>
      </c>
      <c r="P324">
        <v>1800</v>
      </c>
      <c r="Q324">
        <v>15</v>
      </c>
      <c r="R324">
        <v>7650</v>
      </c>
      <c r="S324">
        <v>1292.05</v>
      </c>
      <c r="T324" t="s">
        <v>50</v>
      </c>
      <c r="U324" t="s">
        <v>51</v>
      </c>
      <c r="V324" t="s">
        <v>65</v>
      </c>
    </row>
    <row r="325" spans="1:22" x14ac:dyDescent="0.35">
      <c r="A325" t="s">
        <v>910</v>
      </c>
      <c r="B325" s="5">
        <v>45312</v>
      </c>
      <c r="C325" s="5" t="str">
        <f t="shared" si="11"/>
        <v>2024</v>
      </c>
      <c r="D325" s="5" t="str">
        <f t="shared" si="10"/>
        <v>January</v>
      </c>
      <c r="E325" t="s">
        <v>174</v>
      </c>
      <c r="F325" t="s">
        <v>182</v>
      </c>
      <c r="G325" t="s">
        <v>23</v>
      </c>
      <c r="H325">
        <v>50</v>
      </c>
      <c r="I325" t="s">
        <v>114</v>
      </c>
      <c r="J325" t="s">
        <v>115</v>
      </c>
      <c r="K325" t="s">
        <v>88</v>
      </c>
      <c r="L325" t="s">
        <v>78</v>
      </c>
      <c r="M325" t="s">
        <v>79</v>
      </c>
      <c r="N325" t="s">
        <v>80</v>
      </c>
      <c r="O325">
        <v>2</v>
      </c>
      <c r="P325">
        <v>1800</v>
      </c>
      <c r="Q325">
        <v>10</v>
      </c>
      <c r="R325">
        <v>3240</v>
      </c>
      <c r="S325">
        <v>639.66</v>
      </c>
      <c r="T325" t="s">
        <v>30</v>
      </c>
      <c r="U325" t="s">
        <v>51</v>
      </c>
      <c r="V325" t="s">
        <v>117</v>
      </c>
    </row>
    <row r="326" spans="1:22" x14ac:dyDescent="0.35">
      <c r="A326" t="s">
        <v>911</v>
      </c>
      <c r="B326" s="5">
        <v>45417</v>
      </c>
      <c r="C326" s="5" t="str">
        <f t="shared" si="11"/>
        <v>2024</v>
      </c>
      <c r="D326" s="5" t="str">
        <f t="shared" si="10"/>
        <v>May</v>
      </c>
      <c r="E326" t="s">
        <v>542</v>
      </c>
      <c r="F326" t="s">
        <v>633</v>
      </c>
      <c r="G326" t="s">
        <v>23</v>
      </c>
      <c r="H326">
        <v>33</v>
      </c>
      <c r="I326" t="s">
        <v>24</v>
      </c>
      <c r="J326" t="s">
        <v>25</v>
      </c>
      <c r="K326" t="s">
        <v>26</v>
      </c>
      <c r="L326" t="s">
        <v>47</v>
      </c>
      <c r="M326" t="s">
        <v>48</v>
      </c>
      <c r="N326" t="s">
        <v>215</v>
      </c>
      <c r="O326">
        <v>1</v>
      </c>
      <c r="P326">
        <v>450</v>
      </c>
      <c r="Q326">
        <v>15</v>
      </c>
      <c r="R326">
        <v>382.5</v>
      </c>
      <c r="S326">
        <v>30.7</v>
      </c>
      <c r="T326" t="s">
        <v>59</v>
      </c>
      <c r="U326" t="s">
        <v>51</v>
      </c>
      <c r="V326" t="s">
        <v>65</v>
      </c>
    </row>
    <row r="327" spans="1:22" x14ac:dyDescent="0.35">
      <c r="A327" t="s">
        <v>913</v>
      </c>
      <c r="B327" s="5">
        <v>45820</v>
      </c>
      <c r="C327" s="5" t="str">
        <f t="shared" si="11"/>
        <v>2025</v>
      </c>
      <c r="D327" s="5" t="str">
        <f t="shared" si="10"/>
        <v>June</v>
      </c>
      <c r="E327" t="s">
        <v>497</v>
      </c>
      <c r="F327" t="s">
        <v>797</v>
      </c>
      <c r="G327" t="s">
        <v>37</v>
      </c>
      <c r="H327">
        <v>41</v>
      </c>
      <c r="I327" t="s">
        <v>46</v>
      </c>
      <c r="J327" t="s">
        <v>25</v>
      </c>
      <c r="K327" t="s">
        <v>26</v>
      </c>
      <c r="L327" t="s">
        <v>27</v>
      </c>
      <c r="M327" t="s">
        <v>28</v>
      </c>
      <c r="N327" t="s">
        <v>73</v>
      </c>
      <c r="O327">
        <v>3</v>
      </c>
      <c r="P327">
        <v>25000</v>
      </c>
      <c r="Q327">
        <v>20</v>
      </c>
      <c r="R327">
        <v>60000</v>
      </c>
      <c r="S327">
        <v>12075.78</v>
      </c>
      <c r="T327" t="s">
        <v>59</v>
      </c>
      <c r="U327" t="s">
        <v>31</v>
      </c>
      <c r="V327" t="s">
        <v>117</v>
      </c>
    </row>
    <row r="328" spans="1:22" x14ac:dyDescent="0.35">
      <c r="A328" t="s">
        <v>914</v>
      </c>
      <c r="B328" s="5">
        <v>45683</v>
      </c>
      <c r="C328" s="5" t="str">
        <f t="shared" si="11"/>
        <v>2025</v>
      </c>
      <c r="D328" s="5" t="str">
        <f t="shared" si="10"/>
        <v>January</v>
      </c>
      <c r="E328" t="s">
        <v>281</v>
      </c>
      <c r="F328" t="s">
        <v>786</v>
      </c>
      <c r="G328" t="s">
        <v>37</v>
      </c>
      <c r="H328">
        <v>22</v>
      </c>
      <c r="I328" t="s">
        <v>24</v>
      </c>
      <c r="J328" t="s">
        <v>25</v>
      </c>
      <c r="K328" t="s">
        <v>26</v>
      </c>
      <c r="L328" t="s">
        <v>89</v>
      </c>
      <c r="M328" t="s">
        <v>90</v>
      </c>
      <c r="N328" t="s">
        <v>91</v>
      </c>
      <c r="O328">
        <v>1</v>
      </c>
      <c r="P328">
        <v>9000</v>
      </c>
      <c r="Q328">
        <v>10</v>
      </c>
      <c r="R328">
        <v>8100</v>
      </c>
      <c r="S328">
        <v>1749.18</v>
      </c>
      <c r="T328" t="s">
        <v>59</v>
      </c>
      <c r="U328" t="s">
        <v>51</v>
      </c>
      <c r="V328" t="s">
        <v>65</v>
      </c>
    </row>
    <row r="329" spans="1:22" x14ac:dyDescent="0.35">
      <c r="A329" t="s">
        <v>916</v>
      </c>
      <c r="B329" s="5">
        <v>45521</v>
      </c>
      <c r="C329" s="5" t="str">
        <f t="shared" si="11"/>
        <v>2024</v>
      </c>
      <c r="D329" s="5" t="str">
        <f t="shared" si="10"/>
        <v>August</v>
      </c>
      <c r="E329" t="s">
        <v>494</v>
      </c>
      <c r="F329" t="s">
        <v>918</v>
      </c>
      <c r="G329" t="s">
        <v>23</v>
      </c>
      <c r="H329">
        <v>23</v>
      </c>
      <c r="I329" t="s">
        <v>46</v>
      </c>
      <c r="J329" t="s">
        <v>25</v>
      </c>
      <c r="K329" t="s">
        <v>26</v>
      </c>
      <c r="L329" t="s">
        <v>47</v>
      </c>
      <c r="M329" t="s">
        <v>48</v>
      </c>
      <c r="N329" t="s">
        <v>215</v>
      </c>
      <c r="O329">
        <v>5</v>
      </c>
      <c r="P329">
        <v>450</v>
      </c>
      <c r="Q329">
        <v>0</v>
      </c>
      <c r="R329">
        <v>2250</v>
      </c>
      <c r="S329">
        <v>607.14</v>
      </c>
      <c r="T329" t="s">
        <v>30</v>
      </c>
      <c r="U329" t="s">
        <v>31</v>
      </c>
      <c r="V329" t="s">
        <v>32</v>
      </c>
    </row>
    <row r="330" spans="1:22" x14ac:dyDescent="0.35">
      <c r="A330" t="s">
        <v>919</v>
      </c>
      <c r="B330" s="5">
        <v>45481</v>
      </c>
      <c r="C330" s="5" t="str">
        <f t="shared" si="11"/>
        <v>2024</v>
      </c>
      <c r="D330" s="5" t="str">
        <f t="shared" si="10"/>
        <v>July</v>
      </c>
      <c r="E330" t="s">
        <v>446</v>
      </c>
      <c r="F330" t="s">
        <v>921</v>
      </c>
      <c r="G330" t="s">
        <v>23</v>
      </c>
      <c r="H330">
        <v>26</v>
      </c>
      <c r="I330" t="s">
        <v>86</v>
      </c>
      <c r="J330" t="s">
        <v>87</v>
      </c>
      <c r="K330" t="s">
        <v>88</v>
      </c>
      <c r="L330" t="s">
        <v>89</v>
      </c>
      <c r="M330" t="s">
        <v>90</v>
      </c>
      <c r="N330" t="s">
        <v>128</v>
      </c>
      <c r="O330">
        <v>5</v>
      </c>
      <c r="P330">
        <v>7000</v>
      </c>
      <c r="Q330">
        <v>0</v>
      </c>
      <c r="R330">
        <v>35000</v>
      </c>
      <c r="S330">
        <v>8628.2800000000007</v>
      </c>
      <c r="T330" t="s">
        <v>30</v>
      </c>
      <c r="U330" t="s">
        <v>51</v>
      </c>
      <c r="V330" t="s">
        <v>117</v>
      </c>
    </row>
    <row r="331" spans="1:22" x14ac:dyDescent="0.35">
      <c r="A331" t="s">
        <v>922</v>
      </c>
      <c r="B331" s="5">
        <v>45409</v>
      </c>
      <c r="C331" s="5" t="str">
        <f t="shared" si="11"/>
        <v>2024</v>
      </c>
      <c r="D331" s="5" t="str">
        <f t="shared" si="10"/>
        <v>April</v>
      </c>
      <c r="E331" t="s">
        <v>131</v>
      </c>
      <c r="F331" t="s">
        <v>569</v>
      </c>
      <c r="G331" t="s">
        <v>37</v>
      </c>
      <c r="H331">
        <v>37</v>
      </c>
      <c r="I331" t="s">
        <v>86</v>
      </c>
      <c r="J331" t="s">
        <v>87</v>
      </c>
      <c r="K331" t="s">
        <v>88</v>
      </c>
      <c r="L331" t="s">
        <v>47</v>
      </c>
      <c r="M331" t="s">
        <v>48</v>
      </c>
      <c r="N331" t="s">
        <v>215</v>
      </c>
      <c r="O331">
        <v>1</v>
      </c>
      <c r="P331">
        <v>450</v>
      </c>
      <c r="Q331">
        <v>15</v>
      </c>
      <c r="R331">
        <v>382.5</v>
      </c>
      <c r="S331">
        <v>63.15</v>
      </c>
      <c r="T331" t="s">
        <v>30</v>
      </c>
      <c r="U331" t="s">
        <v>51</v>
      </c>
      <c r="V331" t="s">
        <v>93</v>
      </c>
    </row>
    <row r="332" spans="1:22" x14ac:dyDescent="0.35">
      <c r="A332" t="s">
        <v>924</v>
      </c>
      <c r="B332" s="5">
        <v>45752</v>
      </c>
      <c r="C332" s="5" t="str">
        <f t="shared" si="11"/>
        <v>2025</v>
      </c>
      <c r="D332" s="5" t="str">
        <f t="shared" si="10"/>
        <v>April</v>
      </c>
      <c r="E332" t="s">
        <v>408</v>
      </c>
      <c r="F332" t="s">
        <v>77</v>
      </c>
      <c r="G332" t="s">
        <v>23</v>
      </c>
      <c r="H332">
        <v>57</v>
      </c>
      <c r="I332" t="s">
        <v>86</v>
      </c>
      <c r="J332" t="s">
        <v>87</v>
      </c>
      <c r="K332" t="s">
        <v>88</v>
      </c>
      <c r="L332" t="s">
        <v>89</v>
      </c>
      <c r="M332" t="s">
        <v>90</v>
      </c>
      <c r="N332" t="s">
        <v>242</v>
      </c>
      <c r="O332">
        <v>2</v>
      </c>
      <c r="P332">
        <v>6000</v>
      </c>
      <c r="Q332">
        <v>5</v>
      </c>
      <c r="R332">
        <v>11400</v>
      </c>
      <c r="S332">
        <v>1174.54</v>
      </c>
      <c r="T332" t="s">
        <v>59</v>
      </c>
      <c r="U332" t="s">
        <v>92</v>
      </c>
      <c r="V332" t="s">
        <v>65</v>
      </c>
    </row>
    <row r="333" spans="1:22" x14ac:dyDescent="0.35">
      <c r="A333" t="s">
        <v>925</v>
      </c>
      <c r="B333" s="5">
        <v>45330</v>
      </c>
      <c r="C333" s="5" t="str">
        <f t="shared" si="11"/>
        <v>2024</v>
      </c>
      <c r="D333" s="5" t="str">
        <f t="shared" si="10"/>
        <v>February</v>
      </c>
      <c r="E333" t="s">
        <v>594</v>
      </c>
      <c r="F333" t="s">
        <v>543</v>
      </c>
      <c r="G333" t="s">
        <v>37</v>
      </c>
      <c r="H333">
        <v>53</v>
      </c>
      <c r="I333" t="s">
        <v>86</v>
      </c>
      <c r="J333" t="s">
        <v>87</v>
      </c>
      <c r="K333" t="s">
        <v>88</v>
      </c>
      <c r="L333" t="s">
        <v>47</v>
      </c>
      <c r="M333" t="s">
        <v>48</v>
      </c>
      <c r="N333" t="s">
        <v>116</v>
      </c>
      <c r="O333">
        <v>3</v>
      </c>
      <c r="P333">
        <v>120</v>
      </c>
      <c r="Q333">
        <v>0</v>
      </c>
      <c r="R333">
        <v>360</v>
      </c>
      <c r="S333">
        <v>81.430000000000007</v>
      </c>
      <c r="T333" t="s">
        <v>30</v>
      </c>
      <c r="U333" t="s">
        <v>51</v>
      </c>
      <c r="V333" t="s">
        <v>117</v>
      </c>
    </row>
    <row r="334" spans="1:22" x14ac:dyDescent="0.35">
      <c r="A334" t="s">
        <v>927</v>
      </c>
      <c r="B334" s="5">
        <v>45555</v>
      </c>
      <c r="C334" s="5" t="str">
        <f t="shared" si="11"/>
        <v>2024</v>
      </c>
      <c r="D334" s="5" t="str">
        <f t="shared" si="10"/>
        <v>September</v>
      </c>
      <c r="E334" t="s">
        <v>320</v>
      </c>
      <c r="F334" t="s">
        <v>238</v>
      </c>
      <c r="G334" t="s">
        <v>37</v>
      </c>
      <c r="H334">
        <v>34</v>
      </c>
      <c r="I334" t="s">
        <v>57</v>
      </c>
      <c r="J334" t="s">
        <v>57</v>
      </c>
      <c r="K334" t="s">
        <v>58</v>
      </c>
      <c r="L334" t="s">
        <v>89</v>
      </c>
      <c r="M334" t="s">
        <v>90</v>
      </c>
      <c r="N334" t="s">
        <v>242</v>
      </c>
      <c r="O334">
        <v>5</v>
      </c>
      <c r="P334">
        <v>6000</v>
      </c>
      <c r="Q334">
        <v>10</v>
      </c>
      <c r="R334">
        <v>27000</v>
      </c>
      <c r="S334">
        <v>4971.49</v>
      </c>
      <c r="T334" t="s">
        <v>41</v>
      </c>
      <c r="U334" t="s">
        <v>92</v>
      </c>
      <c r="V334" t="s">
        <v>60</v>
      </c>
    </row>
    <row r="335" spans="1:22" x14ac:dyDescent="0.35">
      <c r="A335" t="s">
        <v>929</v>
      </c>
      <c r="B335" s="5">
        <v>45322</v>
      </c>
      <c r="C335" s="5" t="str">
        <f t="shared" si="11"/>
        <v>2024</v>
      </c>
      <c r="D335" s="5" t="str">
        <f t="shared" si="10"/>
        <v>January</v>
      </c>
      <c r="E335" t="s">
        <v>930</v>
      </c>
      <c r="F335" t="s">
        <v>313</v>
      </c>
      <c r="G335" t="s">
        <v>23</v>
      </c>
      <c r="H335">
        <v>42</v>
      </c>
      <c r="I335" t="s">
        <v>126</v>
      </c>
      <c r="J335" t="s">
        <v>127</v>
      </c>
      <c r="K335" t="s">
        <v>88</v>
      </c>
      <c r="L335" t="s">
        <v>27</v>
      </c>
      <c r="M335" t="s">
        <v>28</v>
      </c>
      <c r="N335" t="s">
        <v>29</v>
      </c>
      <c r="O335">
        <v>1</v>
      </c>
      <c r="P335">
        <v>12000</v>
      </c>
      <c r="Q335">
        <v>5</v>
      </c>
      <c r="R335">
        <v>11400</v>
      </c>
      <c r="S335">
        <v>1363.77</v>
      </c>
      <c r="T335" t="s">
        <v>41</v>
      </c>
      <c r="U335" t="s">
        <v>92</v>
      </c>
      <c r="V335" t="s">
        <v>117</v>
      </c>
    </row>
    <row r="336" spans="1:22" x14ac:dyDescent="0.35">
      <c r="A336" t="s">
        <v>931</v>
      </c>
      <c r="B336" s="5">
        <v>45743</v>
      </c>
      <c r="C336" s="5" t="str">
        <f t="shared" si="11"/>
        <v>2025</v>
      </c>
      <c r="D336" s="5" t="str">
        <f t="shared" si="10"/>
        <v>March</v>
      </c>
      <c r="E336" t="s">
        <v>758</v>
      </c>
      <c r="F336" t="s">
        <v>817</v>
      </c>
      <c r="G336" t="s">
        <v>23</v>
      </c>
      <c r="H336">
        <v>20</v>
      </c>
      <c r="I336" t="s">
        <v>126</v>
      </c>
      <c r="J336" t="s">
        <v>127</v>
      </c>
      <c r="K336" t="s">
        <v>88</v>
      </c>
      <c r="L336" t="s">
        <v>27</v>
      </c>
      <c r="M336" t="s">
        <v>28</v>
      </c>
      <c r="N336" t="s">
        <v>140</v>
      </c>
      <c r="O336">
        <v>5</v>
      </c>
      <c r="P336">
        <v>65000</v>
      </c>
      <c r="Q336">
        <v>5</v>
      </c>
      <c r="R336">
        <v>308750</v>
      </c>
      <c r="S336">
        <v>76269.86</v>
      </c>
      <c r="T336" t="s">
        <v>81</v>
      </c>
      <c r="U336" t="s">
        <v>31</v>
      </c>
      <c r="V336" t="s">
        <v>65</v>
      </c>
    </row>
    <row r="337" spans="1:22" x14ac:dyDescent="0.35">
      <c r="A337" t="s">
        <v>933</v>
      </c>
      <c r="B337" s="5">
        <v>45755</v>
      </c>
      <c r="C337" s="5" t="str">
        <f t="shared" si="11"/>
        <v>2025</v>
      </c>
      <c r="D337" s="5" t="str">
        <f t="shared" si="10"/>
        <v>April</v>
      </c>
      <c r="E337" t="s">
        <v>178</v>
      </c>
      <c r="F337" t="s">
        <v>437</v>
      </c>
      <c r="G337" t="s">
        <v>37</v>
      </c>
      <c r="H337">
        <v>30</v>
      </c>
      <c r="I337" t="s">
        <v>38</v>
      </c>
      <c r="J337" t="s">
        <v>39</v>
      </c>
      <c r="K337" t="s">
        <v>26</v>
      </c>
      <c r="L337" t="s">
        <v>27</v>
      </c>
      <c r="M337" t="s">
        <v>28</v>
      </c>
      <c r="N337" t="s">
        <v>29</v>
      </c>
      <c r="O337">
        <v>1</v>
      </c>
      <c r="P337">
        <v>12000</v>
      </c>
      <c r="Q337">
        <v>5</v>
      </c>
      <c r="R337">
        <v>11400</v>
      </c>
      <c r="S337">
        <v>969.42</v>
      </c>
      <c r="T337" t="s">
        <v>50</v>
      </c>
      <c r="U337" t="s">
        <v>51</v>
      </c>
      <c r="V337" t="s">
        <v>60</v>
      </c>
    </row>
    <row r="338" spans="1:22" x14ac:dyDescent="0.35">
      <c r="A338" t="s">
        <v>935</v>
      </c>
      <c r="B338" s="5">
        <v>45339</v>
      </c>
      <c r="C338" s="5" t="str">
        <f t="shared" si="11"/>
        <v>2024</v>
      </c>
      <c r="D338" s="5" t="str">
        <f t="shared" si="10"/>
        <v>February</v>
      </c>
      <c r="E338" t="s">
        <v>178</v>
      </c>
      <c r="F338" t="s">
        <v>633</v>
      </c>
      <c r="G338" t="s">
        <v>37</v>
      </c>
      <c r="H338">
        <v>50</v>
      </c>
      <c r="I338" t="s">
        <v>126</v>
      </c>
      <c r="J338" t="s">
        <v>127</v>
      </c>
      <c r="K338" t="s">
        <v>88</v>
      </c>
      <c r="L338" t="s">
        <v>78</v>
      </c>
      <c r="M338" t="s">
        <v>79</v>
      </c>
      <c r="N338" t="s">
        <v>80</v>
      </c>
      <c r="O338">
        <v>3</v>
      </c>
      <c r="P338">
        <v>1800</v>
      </c>
      <c r="Q338">
        <v>15</v>
      </c>
      <c r="R338">
        <v>4590</v>
      </c>
      <c r="S338">
        <v>857.53</v>
      </c>
      <c r="T338" t="s">
        <v>81</v>
      </c>
      <c r="U338" t="s">
        <v>51</v>
      </c>
      <c r="V338" t="s">
        <v>117</v>
      </c>
    </row>
    <row r="339" spans="1:22" x14ac:dyDescent="0.35">
      <c r="A339" t="s">
        <v>937</v>
      </c>
      <c r="B339" s="5">
        <v>45767</v>
      </c>
      <c r="C339" s="5" t="str">
        <f t="shared" si="11"/>
        <v>2025</v>
      </c>
      <c r="D339" s="5" t="str">
        <f t="shared" si="10"/>
        <v>April</v>
      </c>
      <c r="E339" t="s">
        <v>316</v>
      </c>
      <c r="F339" t="s">
        <v>36</v>
      </c>
      <c r="G339" t="s">
        <v>37</v>
      </c>
      <c r="H339">
        <v>20</v>
      </c>
      <c r="I339" t="s">
        <v>126</v>
      </c>
      <c r="J339" t="s">
        <v>127</v>
      </c>
      <c r="K339" t="s">
        <v>88</v>
      </c>
      <c r="L339" t="s">
        <v>47</v>
      </c>
      <c r="M339" t="s">
        <v>48</v>
      </c>
      <c r="N339" t="s">
        <v>215</v>
      </c>
      <c r="O339">
        <v>1</v>
      </c>
      <c r="P339">
        <v>450</v>
      </c>
      <c r="Q339">
        <v>0</v>
      </c>
      <c r="R339">
        <v>450</v>
      </c>
      <c r="S339">
        <v>76.11</v>
      </c>
      <c r="T339" t="s">
        <v>41</v>
      </c>
      <c r="U339" t="s">
        <v>51</v>
      </c>
      <c r="V339" t="s">
        <v>32</v>
      </c>
    </row>
    <row r="340" spans="1:22" x14ac:dyDescent="0.35">
      <c r="A340" t="s">
        <v>939</v>
      </c>
      <c r="B340" s="5">
        <v>45701</v>
      </c>
      <c r="C340" s="5" t="str">
        <f t="shared" si="11"/>
        <v>2025</v>
      </c>
      <c r="D340" s="5" t="str">
        <f t="shared" si="10"/>
        <v>February</v>
      </c>
      <c r="E340" t="s">
        <v>196</v>
      </c>
      <c r="F340" t="s">
        <v>670</v>
      </c>
      <c r="G340" t="s">
        <v>23</v>
      </c>
      <c r="H340">
        <v>50</v>
      </c>
      <c r="I340" t="s">
        <v>98</v>
      </c>
      <c r="J340" t="s">
        <v>99</v>
      </c>
      <c r="K340" t="s">
        <v>100</v>
      </c>
      <c r="L340" t="s">
        <v>47</v>
      </c>
      <c r="M340" t="s">
        <v>48</v>
      </c>
      <c r="N340" t="s">
        <v>215</v>
      </c>
      <c r="O340">
        <v>1</v>
      </c>
      <c r="P340">
        <v>450</v>
      </c>
      <c r="Q340">
        <v>20</v>
      </c>
      <c r="R340">
        <v>360</v>
      </c>
      <c r="S340">
        <v>83.06</v>
      </c>
      <c r="T340" t="s">
        <v>59</v>
      </c>
      <c r="U340" t="s">
        <v>92</v>
      </c>
      <c r="V340" t="s">
        <v>93</v>
      </c>
    </row>
    <row r="341" spans="1:22" x14ac:dyDescent="0.35">
      <c r="A341" t="s">
        <v>941</v>
      </c>
      <c r="B341" s="5">
        <v>45691</v>
      </c>
      <c r="C341" s="5" t="str">
        <f t="shared" si="11"/>
        <v>2025</v>
      </c>
      <c r="D341" s="5" t="str">
        <f t="shared" si="10"/>
        <v>February</v>
      </c>
      <c r="E341" t="s">
        <v>139</v>
      </c>
      <c r="F341" t="s">
        <v>942</v>
      </c>
      <c r="G341" t="s">
        <v>23</v>
      </c>
      <c r="H341">
        <v>33</v>
      </c>
      <c r="I341" t="s">
        <v>24</v>
      </c>
      <c r="J341" t="s">
        <v>25</v>
      </c>
      <c r="K341" t="s">
        <v>26</v>
      </c>
      <c r="L341" t="s">
        <v>47</v>
      </c>
      <c r="M341" t="s">
        <v>48</v>
      </c>
      <c r="N341" t="s">
        <v>116</v>
      </c>
      <c r="O341">
        <v>3</v>
      </c>
      <c r="P341">
        <v>120</v>
      </c>
      <c r="Q341">
        <v>0</v>
      </c>
      <c r="R341">
        <v>360</v>
      </c>
      <c r="S341">
        <v>71.53</v>
      </c>
      <c r="T341" t="s">
        <v>81</v>
      </c>
      <c r="U341" t="s">
        <v>51</v>
      </c>
      <c r="V341" t="s">
        <v>117</v>
      </c>
    </row>
    <row r="342" spans="1:22" x14ac:dyDescent="0.35">
      <c r="A342" t="s">
        <v>943</v>
      </c>
      <c r="B342" s="5">
        <v>45719</v>
      </c>
      <c r="C342" s="5" t="str">
        <f t="shared" si="11"/>
        <v>2025</v>
      </c>
      <c r="D342" s="5" t="str">
        <f t="shared" si="10"/>
        <v>March</v>
      </c>
      <c r="E342" t="s">
        <v>522</v>
      </c>
      <c r="F342" t="s">
        <v>679</v>
      </c>
      <c r="G342" t="s">
        <v>23</v>
      </c>
      <c r="H342">
        <v>39</v>
      </c>
      <c r="I342" t="s">
        <v>126</v>
      </c>
      <c r="J342" t="s">
        <v>127</v>
      </c>
      <c r="K342" t="s">
        <v>88</v>
      </c>
      <c r="L342" t="s">
        <v>47</v>
      </c>
      <c r="M342" t="s">
        <v>48</v>
      </c>
      <c r="N342" t="s">
        <v>215</v>
      </c>
      <c r="O342">
        <v>4</v>
      </c>
      <c r="P342">
        <v>450</v>
      </c>
      <c r="Q342">
        <v>0</v>
      </c>
      <c r="R342">
        <v>1800</v>
      </c>
      <c r="S342">
        <v>442.82</v>
      </c>
      <c r="T342" t="s">
        <v>30</v>
      </c>
      <c r="U342" t="s">
        <v>92</v>
      </c>
      <c r="V342" t="s">
        <v>117</v>
      </c>
    </row>
    <row r="343" spans="1:22" x14ac:dyDescent="0.35">
      <c r="A343" t="s">
        <v>945</v>
      </c>
      <c r="B343" s="5">
        <v>45732</v>
      </c>
      <c r="C343" s="5" t="str">
        <f t="shared" si="11"/>
        <v>2025</v>
      </c>
      <c r="D343" s="5" t="str">
        <f t="shared" si="10"/>
        <v>March</v>
      </c>
      <c r="E343" t="s">
        <v>392</v>
      </c>
      <c r="F343" t="s">
        <v>160</v>
      </c>
      <c r="G343" t="s">
        <v>23</v>
      </c>
      <c r="H343">
        <v>38</v>
      </c>
      <c r="I343" t="s">
        <v>126</v>
      </c>
      <c r="J343" t="s">
        <v>127</v>
      </c>
      <c r="K343" t="s">
        <v>88</v>
      </c>
      <c r="L343" t="s">
        <v>78</v>
      </c>
      <c r="M343" t="s">
        <v>79</v>
      </c>
      <c r="N343" t="s">
        <v>80</v>
      </c>
      <c r="O343">
        <v>3</v>
      </c>
      <c r="P343">
        <v>1800</v>
      </c>
      <c r="Q343">
        <v>20</v>
      </c>
      <c r="R343">
        <v>4320</v>
      </c>
      <c r="S343">
        <v>592.97</v>
      </c>
      <c r="T343" t="s">
        <v>50</v>
      </c>
      <c r="U343" t="s">
        <v>31</v>
      </c>
      <c r="V343" t="s">
        <v>52</v>
      </c>
    </row>
    <row r="344" spans="1:22" x14ac:dyDescent="0.35">
      <c r="A344" t="s">
        <v>946</v>
      </c>
      <c r="B344" s="5">
        <v>45636</v>
      </c>
      <c r="C344" s="5" t="str">
        <f t="shared" si="11"/>
        <v>2024</v>
      </c>
      <c r="D344" s="5" t="str">
        <f t="shared" si="10"/>
        <v>December</v>
      </c>
      <c r="E344" t="s">
        <v>343</v>
      </c>
      <c r="F344" t="s">
        <v>883</v>
      </c>
      <c r="G344" t="s">
        <v>37</v>
      </c>
      <c r="H344">
        <v>49</v>
      </c>
      <c r="I344" t="s">
        <v>24</v>
      </c>
      <c r="J344" t="s">
        <v>25</v>
      </c>
      <c r="K344" t="s">
        <v>26</v>
      </c>
      <c r="L344" t="s">
        <v>78</v>
      </c>
      <c r="M344" t="s">
        <v>79</v>
      </c>
      <c r="N344" t="s">
        <v>101</v>
      </c>
      <c r="O344">
        <v>2</v>
      </c>
      <c r="P344">
        <v>3500</v>
      </c>
      <c r="Q344">
        <v>5</v>
      </c>
      <c r="R344">
        <v>6650</v>
      </c>
      <c r="S344">
        <v>1752.12</v>
      </c>
      <c r="T344" t="s">
        <v>30</v>
      </c>
      <c r="U344" t="s">
        <v>92</v>
      </c>
      <c r="V344" t="s">
        <v>60</v>
      </c>
    </row>
    <row r="345" spans="1:22" x14ac:dyDescent="0.35">
      <c r="A345" t="s">
        <v>948</v>
      </c>
      <c r="B345" s="5">
        <v>45539</v>
      </c>
      <c r="C345" s="5" t="str">
        <f t="shared" si="11"/>
        <v>2024</v>
      </c>
      <c r="D345" s="5" t="str">
        <f t="shared" si="10"/>
        <v>September</v>
      </c>
      <c r="E345" t="s">
        <v>542</v>
      </c>
      <c r="F345" t="s">
        <v>105</v>
      </c>
      <c r="G345" t="s">
        <v>37</v>
      </c>
      <c r="H345">
        <v>33</v>
      </c>
      <c r="I345" t="s">
        <v>126</v>
      </c>
      <c r="J345" t="s">
        <v>127</v>
      </c>
      <c r="K345" t="s">
        <v>88</v>
      </c>
      <c r="L345" t="s">
        <v>89</v>
      </c>
      <c r="M345" t="s">
        <v>90</v>
      </c>
      <c r="N345" t="s">
        <v>91</v>
      </c>
      <c r="O345">
        <v>3</v>
      </c>
      <c r="P345">
        <v>9000</v>
      </c>
      <c r="Q345">
        <v>0</v>
      </c>
      <c r="R345">
        <v>27000</v>
      </c>
      <c r="S345">
        <v>4392.0600000000004</v>
      </c>
      <c r="T345" t="s">
        <v>30</v>
      </c>
      <c r="U345" t="s">
        <v>51</v>
      </c>
      <c r="V345" t="s">
        <v>32</v>
      </c>
    </row>
    <row r="346" spans="1:22" x14ac:dyDescent="0.35">
      <c r="A346" t="s">
        <v>949</v>
      </c>
      <c r="B346" s="5">
        <v>45722</v>
      </c>
      <c r="C346" s="5" t="str">
        <f t="shared" si="11"/>
        <v>2025</v>
      </c>
      <c r="D346" s="5" t="str">
        <f t="shared" si="10"/>
        <v>March</v>
      </c>
      <c r="E346" t="s">
        <v>256</v>
      </c>
      <c r="F346" t="s">
        <v>109</v>
      </c>
      <c r="G346" t="s">
        <v>37</v>
      </c>
      <c r="H346">
        <v>25</v>
      </c>
      <c r="I346" t="s">
        <v>86</v>
      </c>
      <c r="J346" t="s">
        <v>87</v>
      </c>
      <c r="K346" t="s">
        <v>88</v>
      </c>
      <c r="L346" t="s">
        <v>27</v>
      </c>
      <c r="M346" t="s">
        <v>28</v>
      </c>
      <c r="N346" t="s">
        <v>140</v>
      </c>
      <c r="O346">
        <v>4</v>
      </c>
      <c r="P346">
        <v>65000</v>
      </c>
      <c r="Q346">
        <v>5</v>
      </c>
      <c r="R346">
        <v>247000</v>
      </c>
      <c r="S346">
        <v>32471.75</v>
      </c>
      <c r="T346" t="s">
        <v>81</v>
      </c>
      <c r="U346" t="s">
        <v>51</v>
      </c>
      <c r="V346" t="s">
        <v>32</v>
      </c>
    </row>
    <row r="347" spans="1:22" x14ac:dyDescent="0.35">
      <c r="A347" t="s">
        <v>950</v>
      </c>
      <c r="B347" s="5">
        <v>45498</v>
      </c>
      <c r="C347" s="5" t="str">
        <f t="shared" si="11"/>
        <v>2024</v>
      </c>
      <c r="D347" s="5" t="str">
        <f t="shared" si="10"/>
        <v>July</v>
      </c>
      <c r="E347" t="s">
        <v>530</v>
      </c>
      <c r="F347" t="s">
        <v>305</v>
      </c>
      <c r="G347" t="s">
        <v>37</v>
      </c>
      <c r="H347">
        <v>41</v>
      </c>
      <c r="I347" t="s">
        <v>98</v>
      </c>
      <c r="J347" t="s">
        <v>99</v>
      </c>
      <c r="K347" t="s">
        <v>100</v>
      </c>
      <c r="L347" t="s">
        <v>47</v>
      </c>
      <c r="M347" t="s">
        <v>48</v>
      </c>
      <c r="N347" t="s">
        <v>49</v>
      </c>
      <c r="O347">
        <v>4</v>
      </c>
      <c r="P347">
        <v>150</v>
      </c>
      <c r="Q347">
        <v>10</v>
      </c>
      <c r="R347">
        <v>540</v>
      </c>
      <c r="S347">
        <v>119.9</v>
      </c>
      <c r="T347" t="s">
        <v>30</v>
      </c>
      <c r="U347" t="s">
        <v>51</v>
      </c>
      <c r="V347" t="s">
        <v>60</v>
      </c>
    </row>
    <row r="348" spans="1:22" x14ac:dyDescent="0.35">
      <c r="A348" t="s">
        <v>951</v>
      </c>
      <c r="B348" s="5">
        <v>45473</v>
      </c>
      <c r="C348" s="5" t="str">
        <f t="shared" si="11"/>
        <v>2024</v>
      </c>
      <c r="D348" s="5" t="str">
        <f t="shared" si="10"/>
        <v>June</v>
      </c>
      <c r="E348" t="s">
        <v>196</v>
      </c>
      <c r="F348" t="s">
        <v>234</v>
      </c>
      <c r="G348" t="s">
        <v>23</v>
      </c>
      <c r="H348">
        <v>50</v>
      </c>
      <c r="I348" t="s">
        <v>38</v>
      </c>
      <c r="J348" t="s">
        <v>39</v>
      </c>
      <c r="K348" t="s">
        <v>26</v>
      </c>
      <c r="L348" t="s">
        <v>89</v>
      </c>
      <c r="M348" t="s">
        <v>90</v>
      </c>
      <c r="N348" t="s">
        <v>242</v>
      </c>
      <c r="O348">
        <v>3</v>
      </c>
      <c r="P348">
        <v>6000</v>
      </c>
      <c r="Q348">
        <v>20</v>
      </c>
      <c r="R348">
        <v>14400</v>
      </c>
      <c r="S348">
        <v>3201.66</v>
      </c>
      <c r="T348" t="s">
        <v>81</v>
      </c>
      <c r="U348" t="s">
        <v>51</v>
      </c>
      <c r="V348" t="s">
        <v>117</v>
      </c>
    </row>
    <row r="349" spans="1:22" x14ac:dyDescent="0.35">
      <c r="A349" t="s">
        <v>953</v>
      </c>
      <c r="B349" s="5">
        <v>45791</v>
      </c>
      <c r="C349" s="5" t="str">
        <f t="shared" si="11"/>
        <v>2025</v>
      </c>
      <c r="D349" s="5" t="str">
        <f t="shared" si="10"/>
        <v>May</v>
      </c>
      <c r="E349" t="s">
        <v>120</v>
      </c>
      <c r="F349" t="s">
        <v>155</v>
      </c>
      <c r="G349" t="s">
        <v>37</v>
      </c>
      <c r="H349">
        <v>33</v>
      </c>
      <c r="I349" t="s">
        <v>24</v>
      </c>
      <c r="J349" t="s">
        <v>25</v>
      </c>
      <c r="K349" t="s">
        <v>26</v>
      </c>
      <c r="L349" t="s">
        <v>78</v>
      </c>
      <c r="M349" t="s">
        <v>79</v>
      </c>
      <c r="N349" t="s">
        <v>156</v>
      </c>
      <c r="O349">
        <v>2</v>
      </c>
      <c r="P349">
        <v>800</v>
      </c>
      <c r="Q349">
        <v>5</v>
      </c>
      <c r="R349">
        <v>1520</v>
      </c>
      <c r="S349">
        <v>369.84</v>
      </c>
      <c r="T349" t="s">
        <v>50</v>
      </c>
      <c r="U349" t="s">
        <v>51</v>
      </c>
      <c r="V349" t="s">
        <v>93</v>
      </c>
    </row>
    <row r="350" spans="1:22" x14ac:dyDescent="0.35">
      <c r="A350" t="s">
        <v>955</v>
      </c>
      <c r="B350" s="5">
        <v>45758</v>
      </c>
      <c r="C350" s="5" t="str">
        <f t="shared" si="11"/>
        <v>2025</v>
      </c>
      <c r="D350" s="5" t="str">
        <f t="shared" si="10"/>
        <v>April</v>
      </c>
      <c r="E350" t="s">
        <v>104</v>
      </c>
      <c r="F350" t="s">
        <v>523</v>
      </c>
      <c r="G350" t="s">
        <v>37</v>
      </c>
      <c r="H350">
        <v>58</v>
      </c>
      <c r="I350" t="s">
        <v>24</v>
      </c>
      <c r="J350" t="s">
        <v>25</v>
      </c>
      <c r="K350" t="s">
        <v>26</v>
      </c>
      <c r="L350" t="s">
        <v>27</v>
      </c>
      <c r="M350" t="s">
        <v>28</v>
      </c>
      <c r="N350" t="s">
        <v>73</v>
      </c>
      <c r="O350">
        <v>1</v>
      </c>
      <c r="P350">
        <v>25000</v>
      </c>
      <c r="Q350">
        <v>15</v>
      </c>
      <c r="R350">
        <v>21250</v>
      </c>
      <c r="S350">
        <v>1758.18</v>
      </c>
      <c r="T350" t="s">
        <v>81</v>
      </c>
      <c r="U350" t="s">
        <v>51</v>
      </c>
      <c r="V350" t="s">
        <v>32</v>
      </c>
    </row>
    <row r="351" spans="1:22" x14ac:dyDescent="0.35">
      <c r="A351" t="s">
        <v>956</v>
      </c>
      <c r="B351" s="5">
        <v>45723</v>
      </c>
      <c r="C351" s="5" t="str">
        <f t="shared" si="11"/>
        <v>2025</v>
      </c>
      <c r="D351" s="5" t="str">
        <f t="shared" si="10"/>
        <v>March</v>
      </c>
      <c r="E351" t="s">
        <v>471</v>
      </c>
      <c r="F351" t="s">
        <v>298</v>
      </c>
      <c r="G351" t="s">
        <v>23</v>
      </c>
      <c r="H351">
        <v>43</v>
      </c>
      <c r="I351" t="s">
        <v>114</v>
      </c>
      <c r="J351" t="s">
        <v>115</v>
      </c>
      <c r="K351" t="s">
        <v>88</v>
      </c>
      <c r="L351" t="s">
        <v>47</v>
      </c>
      <c r="M351" t="s">
        <v>48</v>
      </c>
      <c r="N351" t="s">
        <v>116</v>
      </c>
      <c r="O351">
        <v>5</v>
      </c>
      <c r="P351">
        <v>120</v>
      </c>
      <c r="Q351">
        <v>0</v>
      </c>
      <c r="R351">
        <v>600</v>
      </c>
      <c r="S351">
        <v>97.91</v>
      </c>
      <c r="T351" t="s">
        <v>50</v>
      </c>
      <c r="U351" t="s">
        <v>51</v>
      </c>
      <c r="V351" t="s">
        <v>65</v>
      </c>
    </row>
    <row r="352" spans="1:22" x14ac:dyDescent="0.35">
      <c r="A352" t="s">
        <v>957</v>
      </c>
      <c r="B352" s="5">
        <v>45652</v>
      </c>
      <c r="C352" s="5" t="str">
        <f t="shared" si="11"/>
        <v>2024</v>
      </c>
      <c r="D352" s="5" t="str">
        <f t="shared" si="10"/>
        <v>December</v>
      </c>
      <c r="E352" t="s">
        <v>958</v>
      </c>
      <c r="F352" t="s">
        <v>577</v>
      </c>
      <c r="G352" t="s">
        <v>37</v>
      </c>
      <c r="H352">
        <v>54</v>
      </c>
      <c r="I352" t="s">
        <v>126</v>
      </c>
      <c r="J352" t="s">
        <v>127</v>
      </c>
      <c r="K352" t="s">
        <v>88</v>
      </c>
      <c r="L352" t="s">
        <v>78</v>
      </c>
      <c r="M352" t="s">
        <v>79</v>
      </c>
      <c r="N352" t="s">
        <v>156</v>
      </c>
      <c r="O352">
        <v>5</v>
      </c>
      <c r="P352">
        <v>800</v>
      </c>
      <c r="Q352">
        <v>15</v>
      </c>
      <c r="R352">
        <v>3400</v>
      </c>
      <c r="S352">
        <v>879.96</v>
      </c>
      <c r="T352" t="s">
        <v>50</v>
      </c>
      <c r="U352" t="s">
        <v>51</v>
      </c>
      <c r="V352" t="s">
        <v>117</v>
      </c>
    </row>
    <row r="353" spans="1:22" x14ac:dyDescent="0.35">
      <c r="A353" t="s">
        <v>959</v>
      </c>
      <c r="B353" s="5">
        <v>45681</v>
      </c>
      <c r="C353" s="5" t="str">
        <f t="shared" si="11"/>
        <v>2025</v>
      </c>
      <c r="D353" s="5" t="str">
        <f t="shared" si="10"/>
        <v>January</v>
      </c>
      <c r="E353" t="s">
        <v>471</v>
      </c>
      <c r="F353" t="s">
        <v>85</v>
      </c>
      <c r="G353" t="s">
        <v>37</v>
      </c>
      <c r="H353">
        <v>39</v>
      </c>
      <c r="I353" t="s">
        <v>57</v>
      </c>
      <c r="J353" t="s">
        <v>57</v>
      </c>
      <c r="K353" t="s">
        <v>58</v>
      </c>
      <c r="L353" t="s">
        <v>47</v>
      </c>
      <c r="M353" t="s">
        <v>48</v>
      </c>
      <c r="N353" t="s">
        <v>215</v>
      </c>
      <c r="O353">
        <v>5</v>
      </c>
      <c r="P353">
        <v>450</v>
      </c>
      <c r="Q353">
        <v>10</v>
      </c>
      <c r="R353">
        <v>2025</v>
      </c>
      <c r="S353">
        <v>262.97000000000003</v>
      </c>
      <c r="T353" t="s">
        <v>41</v>
      </c>
      <c r="U353" t="s">
        <v>31</v>
      </c>
      <c r="V353" t="s">
        <v>65</v>
      </c>
    </row>
    <row r="354" spans="1:22" x14ac:dyDescent="0.35">
      <c r="A354" t="s">
        <v>960</v>
      </c>
      <c r="B354" s="5">
        <v>45367</v>
      </c>
      <c r="C354" s="5" t="str">
        <f t="shared" si="11"/>
        <v>2024</v>
      </c>
      <c r="D354" s="5" t="str">
        <f t="shared" si="10"/>
        <v>March</v>
      </c>
      <c r="E354" t="s">
        <v>673</v>
      </c>
      <c r="F354" t="s">
        <v>344</v>
      </c>
      <c r="G354" t="s">
        <v>23</v>
      </c>
      <c r="H354">
        <v>20</v>
      </c>
      <c r="I354" t="s">
        <v>46</v>
      </c>
      <c r="J354" t="s">
        <v>25</v>
      </c>
      <c r="K354" t="s">
        <v>26</v>
      </c>
      <c r="L354" t="s">
        <v>47</v>
      </c>
      <c r="M354" t="s">
        <v>48</v>
      </c>
      <c r="N354" t="s">
        <v>116</v>
      </c>
      <c r="O354">
        <v>1</v>
      </c>
      <c r="P354">
        <v>120</v>
      </c>
      <c r="Q354">
        <v>15</v>
      </c>
      <c r="R354">
        <v>102</v>
      </c>
      <c r="S354">
        <v>12.7</v>
      </c>
      <c r="T354" t="s">
        <v>81</v>
      </c>
      <c r="U354" t="s">
        <v>92</v>
      </c>
      <c r="V354" t="s">
        <v>117</v>
      </c>
    </row>
    <row r="355" spans="1:22" x14ac:dyDescent="0.35">
      <c r="A355" t="s">
        <v>962</v>
      </c>
      <c r="B355" s="5">
        <v>45571</v>
      </c>
      <c r="C355" s="5" t="str">
        <f t="shared" si="11"/>
        <v>2024</v>
      </c>
      <c r="D355" s="5" t="str">
        <f t="shared" si="10"/>
        <v>October</v>
      </c>
      <c r="E355" t="s">
        <v>124</v>
      </c>
      <c r="F355" t="s">
        <v>613</v>
      </c>
      <c r="G355" t="s">
        <v>23</v>
      </c>
      <c r="H355">
        <v>55</v>
      </c>
      <c r="I355" t="s">
        <v>38</v>
      </c>
      <c r="J355" t="s">
        <v>39</v>
      </c>
      <c r="K355" t="s">
        <v>26</v>
      </c>
      <c r="L355" t="s">
        <v>78</v>
      </c>
      <c r="M355" t="s">
        <v>79</v>
      </c>
      <c r="N355" t="s">
        <v>80</v>
      </c>
      <c r="O355">
        <v>3</v>
      </c>
      <c r="P355">
        <v>1800</v>
      </c>
      <c r="Q355">
        <v>10</v>
      </c>
      <c r="R355">
        <v>4860</v>
      </c>
      <c r="S355">
        <v>1212</v>
      </c>
      <c r="T355" t="s">
        <v>50</v>
      </c>
      <c r="U355" t="s">
        <v>51</v>
      </c>
      <c r="V355" t="s">
        <v>32</v>
      </c>
    </row>
    <row r="356" spans="1:22" x14ac:dyDescent="0.35">
      <c r="A356" t="s">
        <v>963</v>
      </c>
      <c r="B356" s="5">
        <v>45821</v>
      </c>
      <c r="C356" s="5" t="str">
        <f t="shared" si="11"/>
        <v>2025</v>
      </c>
      <c r="D356" s="5" t="str">
        <f t="shared" si="10"/>
        <v>June</v>
      </c>
      <c r="E356" t="s">
        <v>281</v>
      </c>
      <c r="F356" t="s">
        <v>965</v>
      </c>
      <c r="G356" t="s">
        <v>23</v>
      </c>
      <c r="H356">
        <v>25</v>
      </c>
      <c r="I356" t="s">
        <v>57</v>
      </c>
      <c r="J356" t="s">
        <v>57</v>
      </c>
      <c r="K356" t="s">
        <v>58</v>
      </c>
      <c r="L356" t="s">
        <v>27</v>
      </c>
      <c r="M356" t="s">
        <v>28</v>
      </c>
      <c r="N356" t="s">
        <v>40</v>
      </c>
      <c r="O356">
        <v>3</v>
      </c>
      <c r="P356">
        <v>2500</v>
      </c>
      <c r="Q356">
        <v>20</v>
      </c>
      <c r="R356">
        <v>6000</v>
      </c>
      <c r="S356">
        <v>662.9</v>
      </c>
      <c r="T356" t="s">
        <v>30</v>
      </c>
      <c r="U356" t="s">
        <v>51</v>
      </c>
      <c r="V356" t="s">
        <v>93</v>
      </c>
    </row>
    <row r="357" spans="1:22" x14ac:dyDescent="0.35">
      <c r="A357" t="s">
        <v>966</v>
      </c>
      <c r="B357" s="5">
        <v>45629</v>
      </c>
      <c r="C357" s="5" t="str">
        <f t="shared" si="11"/>
        <v>2024</v>
      </c>
      <c r="D357" s="5" t="str">
        <f t="shared" si="10"/>
        <v>December</v>
      </c>
      <c r="E357" t="s">
        <v>351</v>
      </c>
      <c r="F357" t="s">
        <v>663</v>
      </c>
      <c r="G357" t="s">
        <v>37</v>
      </c>
      <c r="H357">
        <v>47</v>
      </c>
      <c r="I357" t="s">
        <v>57</v>
      </c>
      <c r="J357" t="s">
        <v>57</v>
      </c>
      <c r="K357" t="s">
        <v>58</v>
      </c>
      <c r="L357" t="s">
        <v>78</v>
      </c>
      <c r="M357" t="s">
        <v>79</v>
      </c>
      <c r="N357" t="s">
        <v>156</v>
      </c>
      <c r="O357">
        <v>5</v>
      </c>
      <c r="P357">
        <v>800</v>
      </c>
      <c r="Q357">
        <v>5</v>
      </c>
      <c r="R357">
        <v>3800</v>
      </c>
      <c r="S357">
        <v>656.1</v>
      </c>
      <c r="T357" t="s">
        <v>81</v>
      </c>
      <c r="U357" t="s">
        <v>51</v>
      </c>
      <c r="V357" t="s">
        <v>65</v>
      </c>
    </row>
    <row r="358" spans="1:22" x14ac:dyDescent="0.35">
      <c r="A358" t="s">
        <v>968</v>
      </c>
      <c r="B358" s="5">
        <v>45561</v>
      </c>
      <c r="C358" s="5" t="str">
        <f t="shared" si="11"/>
        <v>2024</v>
      </c>
      <c r="D358" s="5" t="str">
        <f t="shared" si="10"/>
        <v>September</v>
      </c>
      <c r="E358" t="s">
        <v>429</v>
      </c>
      <c r="F358" t="s">
        <v>328</v>
      </c>
      <c r="G358" t="s">
        <v>23</v>
      </c>
      <c r="H358">
        <v>58</v>
      </c>
      <c r="I358" t="s">
        <v>57</v>
      </c>
      <c r="J358" t="s">
        <v>57</v>
      </c>
      <c r="K358" t="s">
        <v>58</v>
      </c>
      <c r="L358" t="s">
        <v>89</v>
      </c>
      <c r="M358" t="s">
        <v>90</v>
      </c>
      <c r="N358" t="s">
        <v>91</v>
      </c>
      <c r="O358">
        <v>5</v>
      </c>
      <c r="P358">
        <v>9000</v>
      </c>
      <c r="Q358">
        <v>0</v>
      </c>
      <c r="R358">
        <v>45000</v>
      </c>
      <c r="S358">
        <v>9820.17</v>
      </c>
      <c r="T358" t="s">
        <v>81</v>
      </c>
      <c r="U358" t="s">
        <v>51</v>
      </c>
      <c r="V358" t="s">
        <v>117</v>
      </c>
    </row>
    <row r="359" spans="1:22" x14ac:dyDescent="0.35">
      <c r="A359" t="s">
        <v>970</v>
      </c>
      <c r="B359" s="5">
        <v>45459</v>
      </c>
      <c r="C359" s="5" t="str">
        <f t="shared" si="11"/>
        <v>2024</v>
      </c>
      <c r="D359" s="5" t="str">
        <f t="shared" si="10"/>
        <v>June</v>
      </c>
      <c r="E359" t="s">
        <v>587</v>
      </c>
      <c r="F359" t="s">
        <v>972</v>
      </c>
      <c r="G359" t="s">
        <v>37</v>
      </c>
      <c r="H359">
        <v>53</v>
      </c>
      <c r="I359" t="s">
        <v>114</v>
      </c>
      <c r="J359" t="s">
        <v>115</v>
      </c>
      <c r="K359" t="s">
        <v>88</v>
      </c>
      <c r="L359" t="s">
        <v>78</v>
      </c>
      <c r="M359" t="s">
        <v>79</v>
      </c>
      <c r="N359" t="s">
        <v>156</v>
      </c>
      <c r="O359">
        <v>2</v>
      </c>
      <c r="P359">
        <v>800</v>
      </c>
      <c r="Q359">
        <v>10</v>
      </c>
      <c r="R359">
        <v>1440</v>
      </c>
      <c r="S359">
        <v>229.15</v>
      </c>
      <c r="T359" t="s">
        <v>50</v>
      </c>
      <c r="U359" t="s">
        <v>31</v>
      </c>
      <c r="V359" t="s">
        <v>32</v>
      </c>
    </row>
    <row r="360" spans="1:22" x14ac:dyDescent="0.35">
      <c r="A360" t="s">
        <v>973</v>
      </c>
      <c r="B360" s="5">
        <v>45612</v>
      </c>
      <c r="C360" s="5" t="str">
        <f t="shared" si="11"/>
        <v>2024</v>
      </c>
      <c r="D360" s="5" t="str">
        <f t="shared" si="10"/>
        <v>November</v>
      </c>
      <c r="E360" t="s">
        <v>587</v>
      </c>
      <c r="F360" t="s">
        <v>278</v>
      </c>
      <c r="G360" t="s">
        <v>37</v>
      </c>
      <c r="H360">
        <v>22</v>
      </c>
      <c r="I360" t="s">
        <v>46</v>
      </c>
      <c r="J360" t="s">
        <v>25</v>
      </c>
      <c r="K360" t="s">
        <v>26</v>
      </c>
      <c r="L360" t="s">
        <v>27</v>
      </c>
      <c r="M360" t="s">
        <v>28</v>
      </c>
      <c r="N360" t="s">
        <v>73</v>
      </c>
      <c r="O360">
        <v>5</v>
      </c>
      <c r="P360">
        <v>25000</v>
      </c>
      <c r="Q360">
        <v>10</v>
      </c>
      <c r="R360">
        <v>112500</v>
      </c>
      <c r="S360">
        <v>24906.35</v>
      </c>
      <c r="T360" t="s">
        <v>30</v>
      </c>
      <c r="U360" t="s">
        <v>51</v>
      </c>
      <c r="V360" t="s">
        <v>65</v>
      </c>
    </row>
    <row r="361" spans="1:22" x14ac:dyDescent="0.35">
      <c r="A361" t="s">
        <v>974</v>
      </c>
      <c r="B361" s="5">
        <v>45755</v>
      </c>
      <c r="C361" s="5" t="str">
        <f t="shared" si="11"/>
        <v>2025</v>
      </c>
      <c r="D361" s="5" t="str">
        <f t="shared" si="10"/>
        <v>April</v>
      </c>
      <c r="E361" t="s">
        <v>975</v>
      </c>
      <c r="F361" t="s">
        <v>976</v>
      </c>
      <c r="G361" t="s">
        <v>37</v>
      </c>
      <c r="H361">
        <v>43</v>
      </c>
      <c r="I361" t="s">
        <v>38</v>
      </c>
      <c r="J361" t="s">
        <v>39</v>
      </c>
      <c r="K361" t="s">
        <v>26</v>
      </c>
      <c r="L361" t="s">
        <v>78</v>
      </c>
      <c r="M361" t="s">
        <v>79</v>
      </c>
      <c r="N361" t="s">
        <v>156</v>
      </c>
      <c r="O361">
        <v>5</v>
      </c>
      <c r="P361">
        <v>800</v>
      </c>
      <c r="Q361">
        <v>15</v>
      </c>
      <c r="R361">
        <v>3400</v>
      </c>
      <c r="S361">
        <v>615.26</v>
      </c>
      <c r="T361" t="s">
        <v>59</v>
      </c>
      <c r="U361" t="s">
        <v>31</v>
      </c>
      <c r="V361" t="s">
        <v>117</v>
      </c>
    </row>
    <row r="362" spans="1:22" x14ac:dyDescent="0.35">
      <c r="A362" t="s">
        <v>977</v>
      </c>
      <c r="B362" s="5">
        <v>45663</v>
      </c>
      <c r="C362" s="5" t="str">
        <f t="shared" si="11"/>
        <v>2025</v>
      </c>
      <c r="D362" s="5" t="str">
        <f t="shared" si="10"/>
        <v>January</v>
      </c>
      <c r="E362" t="s">
        <v>711</v>
      </c>
      <c r="F362" t="s">
        <v>302</v>
      </c>
      <c r="G362" t="s">
        <v>23</v>
      </c>
      <c r="H362">
        <v>37</v>
      </c>
      <c r="I362" t="s">
        <v>86</v>
      </c>
      <c r="J362" t="s">
        <v>87</v>
      </c>
      <c r="K362" t="s">
        <v>88</v>
      </c>
      <c r="L362" t="s">
        <v>89</v>
      </c>
      <c r="M362" t="s">
        <v>90</v>
      </c>
      <c r="N362" t="s">
        <v>91</v>
      </c>
      <c r="O362">
        <v>3</v>
      </c>
      <c r="P362">
        <v>9000</v>
      </c>
      <c r="Q362">
        <v>15</v>
      </c>
      <c r="R362">
        <v>22950</v>
      </c>
      <c r="S362">
        <v>4127.55</v>
      </c>
      <c r="T362" t="s">
        <v>50</v>
      </c>
      <c r="U362" t="s">
        <v>51</v>
      </c>
      <c r="V362" t="s">
        <v>117</v>
      </c>
    </row>
    <row r="363" spans="1:22" x14ac:dyDescent="0.35">
      <c r="A363" t="s">
        <v>978</v>
      </c>
      <c r="B363" s="5">
        <v>45742</v>
      </c>
      <c r="C363" s="5" t="str">
        <f t="shared" si="11"/>
        <v>2025</v>
      </c>
      <c r="D363" s="5" t="str">
        <f t="shared" si="10"/>
        <v>March</v>
      </c>
      <c r="E363" t="s">
        <v>760</v>
      </c>
      <c r="F363" t="s">
        <v>338</v>
      </c>
      <c r="G363" t="s">
        <v>37</v>
      </c>
      <c r="H363">
        <v>54</v>
      </c>
      <c r="I363" t="s">
        <v>98</v>
      </c>
      <c r="J363" t="s">
        <v>99</v>
      </c>
      <c r="K363" t="s">
        <v>100</v>
      </c>
      <c r="L363" t="s">
        <v>89</v>
      </c>
      <c r="M363" t="s">
        <v>90</v>
      </c>
      <c r="N363" t="s">
        <v>91</v>
      </c>
      <c r="O363">
        <v>5</v>
      </c>
      <c r="P363">
        <v>9000</v>
      </c>
      <c r="Q363">
        <v>5</v>
      </c>
      <c r="R363">
        <v>42750</v>
      </c>
      <c r="S363">
        <v>9861.66</v>
      </c>
      <c r="T363" t="s">
        <v>50</v>
      </c>
      <c r="U363" t="s">
        <v>31</v>
      </c>
      <c r="V363" t="s">
        <v>93</v>
      </c>
    </row>
    <row r="364" spans="1:22" x14ac:dyDescent="0.35">
      <c r="A364" t="s">
        <v>979</v>
      </c>
      <c r="B364" s="5">
        <v>45443</v>
      </c>
      <c r="C364" s="5" t="str">
        <f t="shared" si="11"/>
        <v>2024</v>
      </c>
      <c r="D364" s="5" t="str">
        <f t="shared" si="10"/>
        <v>May</v>
      </c>
      <c r="E364" t="s">
        <v>981</v>
      </c>
      <c r="F364" t="s">
        <v>982</v>
      </c>
      <c r="G364" t="s">
        <v>37</v>
      </c>
      <c r="H364">
        <v>37</v>
      </c>
      <c r="I364" t="s">
        <v>57</v>
      </c>
      <c r="J364" t="s">
        <v>57</v>
      </c>
      <c r="K364" t="s">
        <v>58</v>
      </c>
      <c r="L364" t="s">
        <v>47</v>
      </c>
      <c r="M364" t="s">
        <v>48</v>
      </c>
      <c r="N364" t="s">
        <v>116</v>
      </c>
      <c r="O364">
        <v>4</v>
      </c>
      <c r="P364">
        <v>120</v>
      </c>
      <c r="Q364">
        <v>15</v>
      </c>
      <c r="R364">
        <v>408</v>
      </c>
      <c r="S364">
        <v>56.13</v>
      </c>
      <c r="T364" t="s">
        <v>50</v>
      </c>
      <c r="U364" t="s">
        <v>92</v>
      </c>
      <c r="V364" t="s">
        <v>32</v>
      </c>
    </row>
    <row r="365" spans="1:22" x14ac:dyDescent="0.35">
      <c r="A365" t="s">
        <v>983</v>
      </c>
      <c r="B365" s="5">
        <v>45513</v>
      </c>
      <c r="C365" s="5" t="str">
        <f t="shared" si="11"/>
        <v>2024</v>
      </c>
      <c r="D365" s="5" t="str">
        <f t="shared" si="10"/>
        <v>August</v>
      </c>
      <c r="E365" t="s">
        <v>214</v>
      </c>
      <c r="F365" t="s">
        <v>985</v>
      </c>
      <c r="G365" t="s">
        <v>23</v>
      </c>
      <c r="H365">
        <v>44</v>
      </c>
      <c r="I365" t="s">
        <v>38</v>
      </c>
      <c r="J365" t="s">
        <v>39</v>
      </c>
      <c r="K365" t="s">
        <v>26</v>
      </c>
      <c r="L365" t="s">
        <v>89</v>
      </c>
      <c r="M365" t="s">
        <v>90</v>
      </c>
      <c r="N365" t="s">
        <v>242</v>
      </c>
      <c r="O365">
        <v>5</v>
      </c>
      <c r="P365">
        <v>6000</v>
      </c>
      <c r="Q365">
        <v>10</v>
      </c>
      <c r="R365">
        <v>27000</v>
      </c>
      <c r="S365">
        <v>2868.77</v>
      </c>
      <c r="T365" t="s">
        <v>50</v>
      </c>
      <c r="U365" t="s">
        <v>51</v>
      </c>
      <c r="V365" t="s">
        <v>117</v>
      </c>
    </row>
    <row r="366" spans="1:22" x14ac:dyDescent="0.35">
      <c r="A366" t="s">
        <v>986</v>
      </c>
      <c r="B366" s="5">
        <v>45553</v>
      </c>
      <c r="C366" s="5" t="str">
        <f t="shared" si="11"/>
        <v>2024</v>
      </c>
      <c r="D366" s="5" t="str">
        <f t="shared" si="10"/>
        <v>September</v>
      </c>
      <c r="E366" t="s">
        <v>893</v>
      </c>
      <c r="F366" t="s">
        <v>797</v>
      </c>
      <c r="G366" t="s">
        <v>23</v>
      </c>
      <c r="H366">
        <v>45</v>
      </c>
      <c r="I366" t="s">
        <v>46</v>
      </c>
      <c r="J366" t="s">
        <v>25</v>
      </c>
      <c r="K366" t="s">
        <v>26</v>
      </c>
      <c r="L366" t="s">
        <v>78</v>
      </c>
      <c r="M366" t="s">
        <v>79</v>
      </c>
      <c r="N366" t="s">
        <v>80</v>
      </c>
      <c r="O366">
        <v>5</v>
      </c>
      <c r="P366">
        <v>1800</v>
      </c>
      <c r="Q366">
        <v>0</v>
      </c>
      <c r="R366">
        <v>9000</v>
      </c>
      <c r="S366">
        <v>1130.51</v>
      </c>
      <c r="T366" t="s">
        <v>50</v>
      </c>
      <c r="U366" t="s">
        <v>31</v>
      </c>
      <c r="V366" t="s">
        <v>117</v>
      </c>
    </row>
    <row r="367" spans="1:22" x14ac:dyDescent="0.35">
      <c r="A367" t="s">
        <v>987</v>
      </c>
      <c r="B367" s="5">
        <v>45744</v>
      </c>
      <c r="C367" s="5" t="str">
        <f t="shared" si="11"/>
        <v>2025</v>
      </c>
      <c r="D367" s="5" t="str">
        <f t="shared" si="10"/>
        <v>March</v>
      </c>
      <c r="E367" t="s">
        <v>508</v>
      </c>
      <c r="F367" t="s">
        <v>477</v>
      </c>
      <c r="G367" t="s">
        <v>37</v>
      </c>
      <c r="H367">
        <v>41</v>
      </c>
      <c r="I367" t="s">
        <v>46</v>
      </c>
      <c r="J367" t="s">
        <v>25</v>
      </c>
      <c r="K367" t="s">
        <v>26</v>
      </c>
      <c r="L367" t="s">
        <v>47</v>
      </c>
      <c r="M367" t="s">
        <v>48</v>
      </c>
      <c r="N367" t="s">
        <v>215</v>
      </c>
      <c r="O367">
        <v>2</v>
      </c>
      <c r="P367">
        <v>450</v>
      </c>
      <c r="Q367">
        <v>0</v>
      </c>
      <c r="R367">
        <v>900</v>
      </c>
      <c r="S367">
        <v>215.97</v>
      </c>
      <c r="T367" t="s">
        <v>30</v>
      </c>
      <c r="U367" t="s">
        <v>31</v>
      </c>
      <c r="V367" t="s">
        <v>52</v>
      </c>
    </row>
    <row r="368" spans="1:22" x14ac:dyDescent="0.35">
      <c r="A368" t="s">
        <v>989</v>
      </c>
      <c r="B368" s="5">
        <v>45397</v>
      </c>
      <c r="C368" s="5" t="str">
        <f t="shared" si="11"/>
        <v>2024</v>
      </c>
      <c r="D368" s="5" t="str">
        <f t="shared" si="10"/>
        <v>April</v>
      </c>
      <c r="E368" t="s">
        <v>21</v>
      </c>
      <c r="F368" t="s">
        <v>514</v>
      </c>
      <c r="G368" t="s">
        <v>23</v>
      </c>
      <c r="H368">
        <v>26</v>
      </c>
      <c r="I368" t="s">
        <v>98</v>
      </c>
      <c r="J368" t="s">
        <v>99</v>
      </c>
      <c r="K368" t="s">
        <v>100</v>
      </c>
      <c r="L368" t="s">
        <v>27</v>
      </c>
      <c r="M368" t="s">
        <v>28</v>
      </c>
      <c r="N368" t="s">
        <v>73</v>
      </c>
      <c r="O368">
        <v>2</v>
      </c>
      <c r="P368">
        <v>25000</v>
      </c>
      <c r="Q368">
        <v>15</v>
      </c>
      <c r="R368">
        <v>42500</v>
      </c>
      <c r="S368">
        <v>8510.81</v>
      </c>
      <c r="T368" t="s">
        <v>59</v>
      </c>
      <c r="U368" t="s">
        <v>51</v>
      </c>
      <c r="V368" t="s">
        <v>52</v>
      </c>
    </row>
    <row r="369" spans="1:22" x14ac:dyDescent="0.35">
      <c r="A369" t="s">
        <v>991</v>
      </c>
      <c r="B369" s="5">
        <v>45758</v>
      </c>
      <c r="C369" s="5" t="str">
        <f t="shared" si="11"/>
        <v>2025</v>
      </c>
      <c r="D369" s="5" t="str">
        <f t="shared" si="10"/>
        <v>April</v>
      </c>
      <c r="E369" t="s">
        <v>63</v>
      </c>
      <c r="F369" t="s">
        <v>660</v>
      </c>
      <c r="G369" t="s">
        <v>37</v>
      </c>
      <c r="H369">
        <v>41</v>
      </c>
      <c r="I369" t="s">
        <v>98</v>
      </c>
      <c r="J369" t="s">
        <v>99</v>
      </c>
      <c r="K369" t="s">
        <v>100</v>
      </c>
      <c r="L369" t="s">
        <v>47</v>
      </c>
      <c r="M369" t="s">
        <v>48</v>
      </c>
      <c r="N369" t="s">
        <v>49</v>
      </c>
      <c r="O369">
        <v>3</v>
      </c>
      <c r="P369">
        <v>150</v>
      </c>
      <c r="Q369">
        <v>5</v>
      </c>
      <c r="R369">
        <v>427.5</v>
      </c>
      <c r="S369">
        <v>35.659999999999997</v>
      </c>
      <c r="T369" t="s">
        <v>59</v>
      </c>
      <c r="U369" t="s">
        <v>51</v>
      </c>
      <c r="V369" t="s">
        <v>93</v>
      </c>
    </row>
    <row r="370" spans="1:22" x14ac:dyDescent="0.35">
      <c r="A370" t="s">
        <v>992</v>
      </c>
      <c r="B370" s="5">
        <v>45392</v>
      </c>
      <c r="C370" s="5" t="str">
        <f t="shared" si="11"/>
        <v>2024</v>
      </c>
      <c r="D370" s="5" t="str">
        <f t="shared" si="10"/>
        <v>April</v>
      </c>
      <c r="E370" t="s">
        <v>464</v>
      </c>
      <c r="F370" t="s">
        <v>298</v>
      </c>
      <c r="G370" t="s">
        <v>23</v>
      </c>
      <c r="H370">
        <v>39</v>
      </c>
      <c r="I370" t="s">
        <v>38</v>
      </c>
      <c r="J370" t="s">
        <v>39</v>
      </c>
      <c r="K370" t="s">
        <v>26</v>
      </c>
      <c r="L370" t="s">
        <v>27</v>
      </c>
      <c r="M370" t="s">
        <v>28</v>
      </c>
      <c r="N370" t="s">
        <v>73</v>
      </c>
      <c r="O370">
        <v>4</v>
      </c>
      <c r="P370">
        <v>25000</v>
      </c>
      <c r="Q370">
        <v>10</v>
      </c>
      <c r="R370">
        <v>90000</v>
      </c>
      <c r="S370">
        <v>16598.22</v>
      </c>
      <c r="T370" t="s">
        <v>81</v>
      </c>
      <c r="U370" t="s">
        <v>51</v>
      </c>
      <c r="V370" t="s">
        <v>93</v>
      </c>
    </row>
    <row r="371" spans="1:22" x14ac:dyDescent="0.35">
      <c r="A371" t="s">
        <v>994</v>
      </c>
      <c r="B371" s="5">
        <v>45613</v>
      </c>
      <c r="C371" s="5" t="str">
        <f t="shared" si="11"/>
        <v>2024</v>
      </c>
      <c r="D371" s="5" t="str">
        <f t="shared" si="10"/>
        <v>November</v>
      </c>
      <c r="E371" t="s">
        <v>357</v>
      </c>
      <c r="F371" t="s">
        <v>226</v>
      </c>
      <c r="G371" t="s">
        <v>23</v>
      </c>
      <c r="H371">
        <v>37</v>
      </c>
      <c r="I371" t="s">
        <v>114</v>
      </c>
      <c r="J371" t="s">
        <v>115</v>
      </c>
      <c r="K371" t="s">
        <v>88</v>
      </c>
      <c r="L371" t="s">
        <v>89</v>
      </c>
      <c r="M371" t="s">
        <v>90</v>
      </c>
      <c r="N371" t="s">
        <v>242</v>
      </c>
      <c r="O371">
        <v>2</v>
      </c>
      <c r="P371">
        <v>6000</v>
      </c>
      <c r="Q371">
        <v>15</v>
      </c>
      <c r="R371">
        <v>10200</v>
      </c>
      <c r="S371">
        <v>2420.6</v>
      </c>
      <c r="T371" t="s">
        <v>50</v>
      </c>
      <c r="U371" t="s">
        <v>92</v>
      </c>
      <c r="V371" t="s">
        <v>117</v>
      </c>
    </row>
    <row r="372" spans="1:22" x14ac:dyDescent="0.35">
      <c r="A372" t="s">
        <v>996</v>
      </c>
      <c r="B372" s="5">
        <v>45515</v>
      </c>
      <c r="C372" s="5" t="str">
        <f t="shared" si="11"/>
        <v>2024</v>
      </c>
      <c r="D372" s="5" t="str">
        <f t="shared" si="10"/>
        <v>August</v>
      </c>
      <c r="E372" t="s">
        <v>237</v>
      </c>
      <c r="F372" t="s">
        <v>352</v>
      </c>
      <c r="G372" t="s">
        <v>23</v>
      </c>
      <c r="H372">
        <v>30</v>
      </c>
      <c r="I372" t="s">
        <v>86</v>
      </c>
      <c r="J372" t="s">
        <v>87</v>
      </c>
      <c r="K372" t="s">
        <v>88</v>
      </c>
      <c r="L372" t="s">
        <v>27</v>
      </c>
      <c r="M372" t="s">
        <v>28</v>
      </c>
      <c r="N372" t="s">
        <v>140</v>
      </c>
      <c r="O372">
        <v>1</v>
      </c>
      <c r="P372">
        <v>65000</v>
      </c>
      <c r="Q372">
        <v>15</v>
      </c>
      <c r="R372">
        <v>55250</v>
      </c>
      <c r="S372">
        <v>5363.27</v>
      </c>
      <c r="T372" t="s">
        <v>81</v>
      </c>
      <c r="U372" t="s">
        <v>51</v>
      </c>
      <c r="V372" t="s">
        <v>32</v>
      </c>
    </row>
    <row r="373" spans="1:22" x14ac:dyDescent="0.35">
      <c r="A373" t="s">
        <v>998</v>
      </c>
      <c r="B373" s="5">
        <v>45562</v>
      </c>
      <c r="C373" s="5" t="str">
        <f t="shared" si="11"/>
        <v>2024</v>
      </c>
      <c r="D373" s="5" t="str">
        <f t="shared" si="10"/>
        <v>September</v>
      </c>
      <c r="E373" t="s">
        <v>530</v>
      </c>
      <c r="F373" t="s">
        <v>105</v>
      </c>
      <c r="G373" t="s">
        <v>23</v>
      </c>
      <c r="H373">
        <v>28</v>
      </c>
      <c r="I373" t="s">
        <v>98</v>
      </c>
      <c r="J373" t="s">
        <v>99</v>
      </c>
      <c r="K373" t="s">
        <v>100</v>
      </c>
      <c r="L373" t="s">
        <v>27</v>
      </c>
      <c r="M373" t="s">
        <v>28</v>
      </c>
      <c r="N373" t="s">
        <v>40</v>
      </c>
      <c r="O373">
        <v>5</v>
      </c>
      <c r="P373">
        <v>2500</v>
      </c>
      <c r="Q373">
        <v>5</v>
      </c>
      <c r="R373">
        <v>11875</v>
      </c>
      <c r="S373">
        <v>3316.55</v>
      </c>
      <c r="T373" t="s">
        <v>50</v>
      </c>
      <c r="U373" t="s">
        <v>51</v>
      </c>
      <c r="V373" t="s">
        <v>93</v>
      </c>
    </row>
    <row r="374" spans="1:22" x14ac:dyDescent="0.35">
      <c r="A374" t="s">
        <v>1000</v>
      </c>
      <c r="B374" s="5">
        <v>45318</v>
      </c>
      <c r="C374" s="5" t="str">
        <f t="shared" si="11"/>
        <v>2024</v>
      </c>
      <c r="D374" s="5" t="str">
        <f t="shared" si="10"/>
        <v>January</v>
      </c>
      <c r="E374" t="s">
        <v>539</v>
      </c>
      <c r="F374" t="s">
        <v>155</v>
      </c>
      <c r="G374" t="s">
        <v>23</v>
      </c>
      <c r="H374">
        <v>28</v>
      </c>
      <c r="I374" t="s">
        <v>86</v>
      </c>
      <c r="J374" t="s">
        <v>87</v>
      </c>
      <c r="K374" t="s">
        <v>88</v>
      </c>
      <c r="L374" t="s">
        <v>89</v>
      </c>
      <c r="M374" t="s">
        <v>90</v>
      </c>
      <c r="N374" t="s">
        <v>91</v>
      </c>
      <c r="O374">
        <v>3</v>
      </c>
      <c r="P374">
        <v>9000</v>
      </c>
      <c r="Q374">
        <v>5</v>
      </c>
      <c r="R374">
        <v>25650</v>
      </c>
      <c r="S374">
        <v>6851.34</v>
      </c>
      <c r="T374" t="s">
        <v>30</v>
      </c>
      <c r="U374" t="s">
        <v>31</v>
      </c>
      <c r="V374" t="s">
        <v>65</v>
      </c>
    </row>
    <row r="375" spans="1:22" x14ac:dyDescent="0.35">
      <c r="A375" t="s">
        <v>1001</v>
      </c>
      <c r="B375" s="5">
        <v>45366</v>
      </c>
      <c r="C375" s="5" t="str">
        <f t="shared" si="11"/>
        <v>2024</v>
      </c>
      <c r="D375" s="5" t="str">
        <f t="shared" si="10"/>
        <v>March</v>
      </c>
      <c r="E375" t="s">
        <v>196</v>
      </c>
      <c r="F375" t="s">
        <v>477</v>
      </c>
      <c r="G375" t="s">
        <v>23</v>
      </c>
      <c r="H375">
        <v>51</v>
      </c>
      <c r="I375" t="s">
        <v>126</v>
      </c>
      <c r="J375" t="s">
        <v>127</v>
      </c>
      <c r="K375" t="s">
        <v>88</v>
      </c>
      <c r="L375" t="s">
        <v>78</v>
      </c>
      <c r="M375" t="s">
        <v>79</v>
      </c>
      <c r="N375" t="s">
        <v>156</v>
      </c>
      <c r="O375">
        <v>3</v>
      </c>
      <c r="P375">
        <v>800</v>
      </c>
      <c r="Q375">
        <v>0</v>
      </c>
      <c r="R375">
        <v>2400</v>
      </c>
      <c r="S375">
        <v>612.45000000000005</v>
      </c>
      <c r="T375" t="s">
        <v>59</v>
      </c>
      <c r="U375" t="s">
        <v>92</v>
      </c>
      <c r="V375" t="s">
        <v>93</v>
      </c>
    </row>
    <row r="376" spans="1:22" x14ac:dyDescent="0.35">
      <c r="A376" t="s">
        <v>1002</v>
      </c>
      <c r="B376" s="5">
        <v>45823</v>
      </c>
      <c r="C376" s="5" t="str">
        <f t="shared" si="11"/>
        <v>2025</v>
      </c>
      <c r="D376" s="5" t="str">
        <f t="shared" si="10"/>
        <v>June</v>
      </c>
      <c r="E376" t="s">
        <v>274</v>
      </c>
      <c r="F376" t="s">
        <v>1004</v>
      </c>
      <c r="G376" t="s">
        <v>37</v>
      </c>
      <c r="H376">
        <v>46</v>
      </c>
      <c r="I376" t="s">
        <v>98</v>
      </c>
      <c r="J376" t="s">
        <v>99</v>
      </c>
      <c r="K376" t="s">
        <v>100</v>
      </c>
      <c r="L376" t="s">
        <v>89</v>
      </c>
      <c r="M376" t="s">
        <v>90</v>
      </c>
      <c r="N376" t="s">
        <v>242</v>
      </c>
      <c r="O376">
        <v>4</v>
      </c>
      <c r="P376">
        <v>6000</v>
      </c>
      <c r="Q376">
        <v>15</v>
      </c>
      <c r="R376">
        <v>20400</v>
      </c>
      <c r="S376">
        <v>2079.25</v>
      </c>
      <c r="T376" t="s">
        <v>41</v>
      </c>
      <c r="U376" t="s">
        <v>51</v>
      </c>
      <c r="V376" t="s">
        <v>32</v>
      </c>
    </row>
    <row r="377" spans="1:22" x14ac:dyDescent="0.35">
      <c r="A377" t="s">
        <v>1005</v>
      </c>
      <c r="B377" s="5">
        <v>45802</v>
      </c>
      <c r="C377" s="5" t="str">
        <f t="shared" si="11"/>
        <v>2025</v>
      </c>
      <c r="D377" s="5" t="str">
        <f t="shared" si="10"/>
        <v>May</v>
      </c>
      <c r="E377" t="s">
        <v>347</v>
      </c>
      <c r="F377" t="s">
        <v>589</v>
      </c>
      <c r="G377" t="s">
        <v>23</v>
      </c>
      <c r="H377">
        <v>59</v>
      </c>
      <c r="I377" t="s">
        <v>38</v>
      </c>
      <c r="J377" t="s">
        <v>39</v>
      </c>
      <c r="K377" t="s">
        <v>26</v>
      </c>
      <c r="L377" t="s">
        <v>89</v>
      </c>
      <c r="M377" t="s">
        <v>90</v>
      </c>
      <c r="N377" t="s">
        <v>128</v>
      </c>
      <c r="O377">
        <v>3</v>
      </c>
      <c r="P377">
        <v>7000</v>
      </c>
      <c r="Q377">
        <v>10</v>
      </c>
      <c r="R377">
        <v>18900</v>
      </c>
      <c r="S377">
        <v>2446.1</v>
      </c>
      <c r="T377" t="s">
        <v>50</v>
      </c>
      <c r="U377" t="s">
        <v>51</v>
      </c>
      <c r="V377" t="s">
        <v>32</v>
      </c>
    </row>
    <row r="378" spans="1:22" x14ac:dyDescent="0.35">
      <c r="A378" t="s">
        <v>1007</v>
      </c>
      <c r="B378" s="5">
        <v>45755</v>
      </c>
      <c r="C378" s="5" t="str">
        <f t="shared" si="11"/>
        <v>2025</v>
      </c>
      <c r="D378" s="5" t="str">
        <f t="shared" si="10"/>
        <v>April</v>
      </c>
      <c r="E378" t="s">
        <v>763</v>
      </c>
      <c r="F378" t="s">
        <v>555</v>
      </c>
      <c r="G378" t="s">
        <v>23</v>
      </c>
      <c r="H378">
        <v>60</v>
      </c>
      <c r="I378" t="s">
        <v>114</v>
      </c>
      <c r="J378" t="s">
        <v>115</v>
      </c>
      <c r="K378" t="s">
        <v>88</v>
      </c>
      <c r="L378" t="s">
        <v>27</v>
      </c>
      <c r="M378" t="s">
        <v>28</v>
      </c>
      <c r="N378" t="s">
        <v>140</v>
      </c>
      <c r="O378">
        <v>4</v>
      </c>
      <c r="P378">
        <v>65000</v>
      </c>
      <c r="Q378">
        <v>5</v>
      </c>
      <c r="R378">
        <v>247000</v>
      </c>
      <c r="S378">
        <v>64051.13</v>
      </c>
      <c r="T378" t="s">
        <v>41</v>
      </c>
      <c r="U378" t="s">
        <v>51</v>
      </c>
      <c r="V378" t="s">
        <v>32</v>
      </c>
    </row>
    <row r="379" spans="1:22" x14ac:dyDescent="0.35">
      <c r="A379" t="s">
        <v>1008</v>
      </c>
      <c r="B379" s="5">
        <v>45294</v>
      </c>
      <c r="C379" s="5" t="str">
        <f t="shared" si="11"/>
        <v>2024</v>
      </c>
      <c r="D379" s="5" t="str">
        <f t="shared" si="10"/>
        <v>January</v>
      </c>
      <c r="E379" t="s">
        <v>270</v>
      </c>
      <c r="F379" t="s">
        <v>292</v>
      </c>
      <c r="G379" t="s">
        <v>23</v>
      </c>
      <c r="H379">
        <v>59</v>
      </c>
      <c r="I379" t="s">
        <v>38</v>
      </c>
      <c r="J379" t="s">
        <v>39</v>
      </c>
      <c r="K379" t="s">
        <v>26</v>
      </c>
      <c r="L379" t="s">
        <v>47</v>
      </c>
      <c r="M379" t="s">
        <v>48</v>
      </c>
      <c r="N379" t="s">
        <v>116</v>
      </c>
      <c r="O379">
        <v>3</v>
      </c>
      <c r="P379">
        <v>120</v>
      </c>
      <c r="Q379">
        <v>5</v>
      </c>
      <c r="R379">
        <v>342</v>
      </c>
      <c r="S379">
        <v>62.29</v>
      </c>
      <c r="T379" t="s">
        <v>41</v>
      </c>
      <c r="U379" t="s">
        <v>92</v>
      </c>
      <c r="V379" t="s">
        <v>65</v>
      </c>
    </row>
    <row r="380" spans="1:22" x14ac:dyDescent="0.35">
      <c r="A380" t="s">
        <v>1010</v>
      </c>
      <c r="B380" s="5">
        <v>45452</v>
      </c>
      <c r="C380" s="5" t="str">
        <f t="shared" si="11"/>
        <v>2024</v>
      </c>
      <c r="D380" s="5" t="str">
        <f t="shared" si="10"/>
        <v>June</v>
      </c>
      <c r="E380" t="s">
        <v>1011</v>
      </c>
      <c r="F380" t="s">
        <v>226</v>
      </c>
      <c r="G380" t="s">
        <v>23</v>
      </c>
      <c r="H380">
        <v>44</v>
      </c>
      <c r="I380" t="s">
        <v>24</v>
      </c>
      <c r="J380" t="s">
        <v>25</v>
      </c>
      <c r="K380" t="s">
        <v>26</v>
      </c>
      <c r="L380" t="s">
        <v>47</v>
      </c>
      <c r="M380" t="s">
        <v>48</v>
      </c>
      <c r="N380" t="s">
        <v>215</v>
      </c>
      <c r="O380">
        <v>3</v>
      </c>
      <c r="P380">
        <v>450</v>
      </c>
      <c r="Q380">
        <v>10</v>
      </c>
      <c r="R380">
        <v>1215</v>
      </c>
      <c r="S380">
        <v>185.27</v>
      </c>
      <c r="T380" t="s">
        <v>41</v>
      </c>
      <c r="U380" t="s">
        <v>92</v>
      </c>
      <c r="V380" t="s">
        <v>32</v>
      </c>
    </row>
    <row r="381" spans="1:22" x14ac:dyDescent="0.35">
      <c r="A381" t="s">
        <v>1012</v>
      </c>
      <c r="B381" s="5">
        <v>45685</v>
      </c>
      <c r="C381" s="5" t="str">
        <f t="shared" si="11"/>
        <v>2025</v>
      </c>
      <c r="D381" s="5" t="str">
        <f t="shared" si="10"/>
        <v>January</v>
      </c>
      <c r="E381" t="s">
        <v>429</v>
      </c>
      <c r="F381" t="s">
        <v>1014</v>
      </c>
      <c r="G381" t="s">
        <v>23</v>
      </c>
      <c r="H381">
        <v>59</v>
      </c>
      <c r="I381" t="s">
        <v>86</v>
      </c>
      <c r="J381" t="s">
        <v>87</v>
      </c>
      <c r="K381" t="s">
        <v>88</v>
      </c>
      <c r="L381" t="s">
        <v>47</v>
      </c>
      <c r="M381" t="s">
        <v>48</v>
      </c>
      <c r="N381" t="s">
        <v>49</v>
      </c>
      <c r="O381">
        <v>2</v>
      </c>
      <c r="P381">
        <v>150</v>
      </c>
      <c r="Q381">
        <v>0</v>
      </c>
      <c r="R381">
        <v>300</v>
      </c>
      <c r="S381">
        <v>45.36</v>
      </c>
      <c r="T381" t="s">
        <v>30</v>
      </c>
      <c r="U381" t="s">
        <v>51</v>
      </c>
      <c r="V381" t="s">
        <v>32</v>
      </c>
    </row>
    <row r="382" spans="1:22" x14ac:dyDescent="0.35">
      <c r="A382" t="s">
        <v>1015</v>
      </c>
      <c r="B382" s="5">
        <v>45329</v>
      </c>
      <c r="C382" s="5" t="str">
        <f t="shared" si="11"/>
        <v>2024</v>
      </c>
      <c r="D382" s="5" t="str">
        <f t="shared" si="10"/>
        <v>February</v>
      </c>
      <c r="E382" t="s">
        <v>587</v>
      </c>
      <c r="F382" t="s">
        <v>302</v>
      </c>
      <c r="G382" t="s">
        <v>23</v>
      </c>
      <c r="H382">
        <v>49</v>
      </c>
      <c r="I382" t="s">
        <v>114</v>
      </c>
      <c r="J382" t="s">
        <v>115</v>
      </c>
      <c r="K382" t="s">
        <v>88</v>
      </c>
      <c r="L382" t="s">
        <v>27</v>
      </c>
      <c r="M382" t="s">
        <v>28</v>
      </c>
      <c r="N382" t="s">
        <v>73</v>
      </c>
      <c r="O382">
        <v>3</v>
      </c>
      <c r="P382">
        <v>25000</v>
      </c>
      <c r="Q382">
        <v>15</v>
      </c>
      <c r="R382">
        <v>63750</v>
      </c>
      <c r="S382">
        <v>12655.6</v>
      </c>
      <c r="T382" t="s">
        <v>30</v>
      </c>
      <c r="U382" t="s">
        <v>51</v>
      </c>
      <c r="V382" t="s">
        <v>117</v>
      </c>
    </row>
    <row r="383" spans="1:22" x14ac:dyDescent="0.35">
      <c r="A383" t="s">
        <v>1017</v>
      </c>
      <c r="B383" s="5">
        <v>45375</v>
      </c>
      <c r="C383" s="5" t="str">
        <f t="shared" si="11"/>
        <v>2024</v>
      </c>
      <c r="D383" s="5" t="str">
        <f t="shared" si="10"/>
        <v>March</v>
      </c>
      <c r="E383" t="s">
        <v>508</v>
      </c>
      <c r="F383" t="s">
        <v>813</v>
      </c>
      <c r="G383" t="s">
        <v>37</v>
      </c>
      <c r="H383">
        <v>34</v>
      </c>
      <c r="I383" t="s">
        <v>57</v>
      </c>
      <c r="J383" t="s">
        <v>57</v>
      </c>
      <c r="K383" t="s">
        <v>58</v>
      </c>
      <c r="L383" t="s">
        <v>78</v>
      </c>
      <c r="M383" t="s">
        <v>79</v>
      </c>
      <c r="N383" t="s">
        <v>80</v>
      </c>
      <c r="O383">
        <v>3</v>
      </c>
      <c r="P383">
        <v>1800</v>
      </c>
      <c r="Q383">
        <v>15</v>
      </c>
      <c r="R383">
        <v>4590</v>
      </c>
      <c r="S383">
        <v>1198.95</v>
      </c>
      <c r="T383" t="s">
        <v>30</v>
      </c>
      <c r="U383" t="s">
        <v>92</v>
      </c>
      <c r="V383" t="s">
        <v>32</v>
      </c>
    </row>
    <row r="384" spans="1:22" x14ac:dyDescent="0.35">
      <c r="A384" t="s">
        <v>1019</v>
      </c>
      <c r="B384" s="5">
        <v>45367</v>
      </c>
      <c r="C384" s="5" t="str">
        <f t="shared" si="11"/>
        <v>2024</v>
      </c>
      <c r="D384" s="5" t="str">
        <f t="shared" si="10"/>
        <v>March</v>
      </c>
      <c r="E384" t="s">
        <v>284</v>
      </c>
      <c r="F384" t="s">
        <v>121</v>
      </c>
      <c r="G384" t="s">
        <v>37</v>
      </c>
      <c r="H384">
        <v>50</v>
      </c>
      <c r="I384" t="s">
        <v>57</v>
      </c>
      <c r="J384" t="s">
        <v>57</v>
      </c>
      <c r="K384" t="s">
        <v>58</v>
      </c>
      <c r="L384" t="s">
        <v>89</v>
      </c>
      <c r="M384" t="s">
        <v>90</v>
      </c>
      <c r="N384" t="s">
        <v>91</v>
      </c>
      <c r="O384">
        <v>4</v>
      </c>
      <c r="P384">
        <v>9000</v>
      </c>
      <c r="Q384">
        <v>15</v>
      </c>
      <c r="R384">
        <v>30600</v>
      </c>
      <c r="S384">
        <v>3637.1</v>
      </c>
      <c r="T384" t="s">
        <v>59</v>
      </c>
      <c r="U384" t="s">
        <v>92</v>
      </c>
      <c r="V384" t="s">
        <v>52</v>
      </c>
    </row>
    <row r="385" spans="1:22" x14ac:dyDescent="0.35">
      <c r="A385" t="s">
        <v>1020</v>
      </c>
      <c r="B385" s="5">
        <v>45441</v>
      </c>
      <c r="C385" s="5" t="str">
        <f t="shared" si="11"/>
        <v>2024</v>
      </c>
      <c r="D385" s="5" t="str">
        <f t="shared" si="10"/>
        <v>May</v>
      </c>
      <c r="E385" t="s">
        <v>464</v>
      </c>
      <c r="F385" t="s">
        <v>285</v>
      </c>
      <c r="G385" t="s">
        <v>37</v>
      </c>
      <c r="H385">
        <v>20</v>
      </c>
      <c r="I385" t="s">
        <v>57</v>
      </c>
      <c r="J385" t="s">
        <v>57</v>
      </c>
      <c r="K385" t="s">
        <v>58</v>
      </c>
      <c r="L385" t="s">
        <v>27</v>
      </c>
      <c r="M385" t="s">
        <v>28</v>
      </c>
      <c r="N385" t="s">
        <v>140</v>
      </c>
      <c r="O385">
        <v>5</v>
      </c>
      <c r="P385">
        <v>65000</v>
      </c>
      <c r="Q385">
        <v>15</v>
      </c>
      <c r="R385">
        <v>276250</v>
      </c>
      <c r="S385">
        <v>38853.480000000003</v>
      </c>
      <c r="T385" t="s">
        <v>50</v>
      </c>
      <c r="U385" t="s">
        <v>51</v>
      </c>
      <c r="V385" t="s">
        <v>60</v>
      </c>
    </row>
    <row r="386" spans="1:22" x14ac:dyDescent="0.35">
      <c r="A386" t="s">
        <v>1022</v>
      </c>
      <c r="B386" s="5">
        <v>45353</v>
      </c>
      <c r="C386" s="5" t="str">
        <f t="shared" si="11"/>
        <v>2024</v>
      </c>
      <c r="D386" s="5" t="str">
        <f t="shared" ref="D386:D449" si="12">TEXT(B386,"mmmm")</f>
        <v>March</v>
      </c>
      <c r="E386" t="s">
        <v>229</v>
      </c>
      <c r="F386" t="s">
        <v>421</v>
      </c>
      <c r="G386" t="s">
        <v>37</v>
      </c>
      <c r="H386">
        <v>27</v>
      </c>
      <c r="I386" t="s">
        <v>46</v>
      </c>
      <c r="J386" t="s">
        <v>25</v>
      </c>
      <c r="K386" t="s">
        <v>26</v>
      </c>
      <c r="L386" t="s">
        <v>78</v>
      </c>
      <c r="M386" t="s">
        <v>79</v>
      </c>
      <c r="N386" t="s">
        <v>101</v>
      </c>
      <c r="O386">
        <v>4</v>
      </c>
      <c r="P386">
        <v>3500</v>
      </c>
      <c r="Q386">
        <v>20</v>
      </c>
      <c r="R386">
        <v>11200</v>
      </c>
      <c r="S386">
        <v>2322.88</v>
      </c>
      <c r="T386" t="s">
        <v>41</v>
      </c>
      <c r="U386" t="s">
        <v>31</v>
      </c>
      <c r="V386" t="s">
        <v>32</v>
      </c>
    </row>
    <row r="387" spans="1:22" x14ac:dyDescent="0.35">
      <c r="A387" t="s">
        <v>1023</v>
      </c>
      <c r="B387" s="5">
        <v>45401</v>
      </c>
      <c r="C387" s="5" t="str">
        <f t="shared" ref="C387:C450" si="13">TEXT(B387,"YYYY")</f>
        <v>2024</v>
      </c>
      <c r="D387" s="5" t="str">
        <f t="shared" si="12"/>
        <v>April</v>
      </c>
      <c r="E387" t="s">
        <v>456</v>
      </c>
      <c r="F387" t="s">
        <v>566</v>
      </c>
      <c r="G387" t="s">
        <v>23</v>
      </c>
      <c r="H387">
        <v>51</v>
      </c>
      <c r="I387" t="s">
        <v>86</v>
      </c>
      <c r="J387" t="s">
        <v>87</v>
      </c>
      <c r="K387" t="s">
        <v>88</v>
      </c>
      <c r="L387" t="s">
        <v>47</v>
      </c>
      <c r="M387" t="s">
        <v>48</v>
      </c>
      <c r="N387" t="s">
        <v>215</v>
      </c>
      <c r="O387">
        <v>4</v>
      </c>
      <c r="P387">
        <v>450</v>
      </c>
      <c r="Q387">
        <v>5</v>
      </c>
      <c r="R387">
        <v>1710</v>
      </c>
      <c r="S387">
        <v>261.2</v>
      </c>
      <c r="T387" t="s">
        <v>81</v>
      </c>
      <c r="U387" t="s">
        <v>31</v>
      </c>
      <c r="V387" t="s">
        <v>60</v>
      </c>
    </row>
    <row r="388" spans="1:22" x14ac:dyDescent="0.35">
      <c r="A388" t="s">
        <v>1025</v>
      </c>
      <c r="B388" s="5">
        <v>45820</v>
      </c>
      <c r="C388" s="5" t="str">
        <f t="shared" si="13"/>
        <v>2025</v>
      </c>
      <c r="D388" s="5" t="str">
        <f t="shared" si="12"/>
        <v>June</v>
      </c>
      <c r="E388" t="s">
        <v>1026</v>
      </c>
      <c r="F388" t="s">
        <v>1027</v>
      </c>
      <c r="G388" t="s">
        <v>23</v>
      </c>
      <c r="H388">
        <v>47</v>
      </c>
      <c r="I388" t="s">
        <v>114</v>
      </c>
      <c r="J388" t="s">
        <v>115</v>
      </c>
      <c r="K388" t="s">
        <v>88</v>
      </c>
      <c r="L388" t="s">
        <v>27</v>
      </c>
      <c r="M388" t="s">
        <v>28</v>
      </c>
      <c r="N388" t="s">
        <v>140</v>
      </c>
      <c r="O388">
        <v>3</v>
      </c>
      <c r="P388">
        <v>65000</v>
      </c>
      <c r="Q388">
        <v>20</v>
      </c>
      <c r="R388">
        <v>156000</v>
      </c>
      <c r="S388">
        <v>28260.42</v>
      </c>
      <c r="T388" t="s">
        <v>81</v>
      </c>
      <c r="U388" t="s">
        <v>51</v>
      </c>
      <c r="V388" t="s">
        <v>117</v>
      </c>
    </row>
    <row r="389" spans="1:22" x14ac:dyDescent="0.35">
      <c r="A389" t="s">
        <v>1028</v>
      </c>
      <c r="B389" s="5">
        <v>45680</v>
      </c>
      <c r="C389" s="5" t="str">
        <f t="shared" si="13"/>
        <v>2025</v>
      </c>
      <c r="D389" s="5" t="str">
        <f t="shared" si="12"/>
        <v>January</v>
      </c>
      <c r="E389" t="s">
        <v>291</v>
      </c>
      <c r="F389" t="s">
        <v>226</v>
      </c>
      <c r="G389" t="s">
        <v>23</v>
      </c>
      <c r="H389">
        <v>20</v>
      </c>
      <c r="I389" t="s">
        <v>86</v>
      </c>
      <c r="J389" t="s">
        <v>87</v>
      </c>
      <c r="K389" t="s">
        <v>88</v>
      </c>
      <c r="L389" t="s">
        <v>27</v>
      </c>
      <c r="M389" t="s">
        <v>28</v>
      </c>
      <c r="N389" t="s">
        <v>73</v>
      </c>
      <c r="O389">
        <v>5</v>
      </c>
      <c r="P389">
        <v>25000</v>
      </c>
      <c r="Q389">
        <v>10</v>
      </c>
      <c r="R389">
        <v>112500</v>
      </c>
      <c r="S389">
        <v>15436.49</v>
      </c>
      <c r="T389" t="s">
        <v>41</v>
      </c>
      <c r="U389" t="s">
        <v>51</v>
      </c>
      <c r="V389" t="s">
        <v>65</v>
      </c>
    </row>
    <row r="390" spans="1:22" x14ac:dyDescent="0.35">
      <c r="A390" t="s">
        <v>1030</v>
      </c>
      <c r="B390" s="5">
        <v>45525</v>
      </c>
      <c r="C390" s="5" t="str">
        <f t="shared" si="13"/>
        <v>2024</v>
      </c>
      <c r="D390" s="5" t="str">
        <f t="shared" si="12"/>
        <v>August</v>
      </c>
      <c r="E390" t="s">
        <v>594</v>
      </c>
      <c r="F390" t="s">
        <v>160</v>
      </c>
      <c r="G390" t="s">
        <v>23</v>
      </c>
      <c r="H390">
        <v>32</v>
      </c>
      <c r="I390" t="s">
        <v>86</v>
      </c>
      <c r="J390" t="s">
        <v>87</v>
      </c>
      <c r="K390" t="s">
        <v>88</v>
      </c>
      <c r="L390" t="s">
        <v>27</v>
      </c>
      <c r="M390" t="s">
        <v>28</v>
      </c>
      <c r="N390" t="s">
        <v>140</v>
      </c>
      <c r="O390">
        <v>4</v>
      </c>
      <c r="P390">
        <v>65000</v>
      </c>
      <c r="Q390">
        <v>5</v>
      </c>
      <c r="R390">
        <v>247000</v>
      </c>
      <c r="S390">
        <v>65645.679999999993</v>
      </c>
      <c r="T390" t="s">
        <v>41</v>
      </c>
      <c r="U390" t="s">
        <v>31</v>
      </c>
      <c r="V390" t="s">
        <v>60</v>
      </c>
    </row>
    <row r="391" spans="1:22" x14ac:dyDescent="0.35">
      <c r="A391" t="s">
        <v>1032</v>
      </c>
      <c r="B391" s="5">
        <v>45576</v>
      </c>
      <c r="C391" s="5" t="str">
        <f t="shared" si="13"/>
        <v>2024</v>
      </c>
      <c r="D391" s="5" t="str">
        <f t="shared" si="12"/>
        <v>October</v>
      </c>
      <c r="E391" t="s">
        <v>598</v>
      </c>
      <c r="F391" t="s">
        <v>633</v>
      </c>
      <c r="G391" t="s">
        <v>23</v>
      </c>
      <c r="H391">
        <v>36</v>
      </c>
      <c r="I391" t="s">
        <v>114</v>
      </c>
      <c r="J391" t="s">
        <v>115</v>
      </c>
      <c r="K391" t="s">
        <v>88</v>
      </c>
      <c r="L391" t="s">
        <v>47</v>
      </c>
      <c r="M391" t="s">
        <v>48</v>
      </c>
      <c r="N391" t="s">
        <v>215</v>
      </c>
      <c r="O391">
        <v>3</v>
      </c>
      <c r="P391">
        <v>450</v>
      </c>
      <c r="Q391">
        <v>5</v>
      </c>
      <c r="R391">
        <v>1282.5</v>
      </c>
      <c r="S391">
        <v>226.46</v>
      </c>
      <c r="T391" t="s">
        <v>81</v>
      </c>
      <c r="U391" t="s">
        <v>51</v>
      </c>
      <c r="V391" t="s">
        <v>52</v>
      </c>
    </row>
    <row r="392" spans="1:22" x14ac:dyDescent="0.35">
      <c r="A392" t="s">
        <v>1034</v>
      </c>
      <c r="B392" s="5">
        <v>45758</v>
      </c>
      <c r="C392" s="5" t="str">
        <f t="shared" si="13"/>
        <v>2025</v>
      </c>
      <c r="D392" s="5" t="str">
        <f t="shared" si="12"/>
        <v>April</v>
      </c>
      <c r="E392" t="s">
        <v>689</v>
      </c>
      <c r="F392" t="s">
        <v>332</v>
      </c>
      <c r="G392" t="s">
        <v>23</v>
      </c>
      <c r="H392">
        <v>60</v>
      </c>
      <c r="I392" t="s">
        <v>24</v>
      </c>
      <c r="J392" t="s">
        <v>25</v>
      </c>
      <c r="K392" t="s">
        <v>26</v>
      </c>
      <c r="L392" t="s">
        <v>47</v>
      </c>
      <c r="M392" t="s">
        <v>48</v>
      </c>
      <c r="N392" t="s">
        <v>116</v>
      </c>
      <c r="O392">
        <v>1</v>
      </c>
      <c r="P392">
        <v>120</v>
      </c>
      <c r="Q392">
        <v>10</v>
      </c>
      <c r="R392">
        <v>108</v>
      </c>
      <c r="S392">
        <v>25.52</v>
      </c>
      <c r="T392" t="s">
        <v>41</v>
      </c>
      <c r="U392" t="s">
        <v>51</v>
      </c>
      <c r="V392" t="s">
        <v>117</v>
      </c>
    </row>
    <row r="393" spans="1:22" x14ac:dyDescent="0.35">
      <c r="A393" t="s">
        <v>1035</v>
      </c>
      <c r="B393" s="5">
        <v>45738</v>
      </c>
      <c r="C393" s="5" t="str">
        <f t="shared" si="13"/>
        <v>2025</v>
      </c>
      <c r="D393" s="5" t="str">
        <f t="shared" si="12"/>
        <v>March</v>
      </c>
      <c r="E393" t="s">
        <v>653</v>
      </c>
      <c r="F393" t="s">
        <v>338</v>
      </c>
      <c r="G393" t="s">
        <v>37</v>
      </c>
      <c r="H393">
        <v>31</v>
      </c>
      <c r="I393" t="s">
        <v>38</v>
      </c>
      <c r="J393" t="s">
        <v>39</v>
      </c>
      <c r="K393" t="s">
        <v>26</v>
      </c>
      <c r="L393" t="s">
        <v>27</v>
      </c>
      <c r="M393" t="s">
        <v>28</v>
      </c>
      <c r="N393" t="s">
        <v>140</v>
      </c>
      <c r="O393">
        <v>2</v>
      </c>
      <c r="P393">
        <v>65000</v>
      </c>
      <c r="Q393">
        <v>0</v>
      </c>
      <c r="R393">
        <v>130000</v>
      </c>
      <c r="S393">
        <v>31257.51</v>
      </c>
      <c r="T393" t="s">
        <v>41</v>
      </c>
      <c r="U393" t="s">
        <v>51</v>
      </c>
      <c r="V393" t="s">
        <v>93</v>
      </c>
    </row>
    <row r="394" spans="1:22" x14ac:dyDescent="0.35">
      <c r="A394" t="s">
        <v>1036</v>
      </c>
      <c r="B394" s="5">
        <v>45413</v>
      </c>
      <c r="C394" s="5" t="str">
        <f t="shared" si="13"/>
        <v>2024</v>
      </c>
      <c r="D394" s="5" t="str">
        <f t="shared" si="12"/>
        <v>May</v>
      </c>
      <c r="E394" t="s">
        <v>124</v>
      </c>
      <c r="F394" t="s">
        <v>903</v>
      </c>
      <c r="G394" t="s">
        <v>23</v>
      </c>
      <c r="H394">
        <v>56</v>
      </c>
      <c r="I394" t="s">
        <v>98</v>
      </c>
      <c r="J394" t="s">
        <v>99</v>
      </c>
      <c r="K394" t="s">
        <v>100</v>
      </c>
      <c r="L394" t="s">
        <v>47</v>
      </c>
      <c r="M394" t="s">
        <v>48</v>
      </c>
      <c r="N394" t="s">
        <v>49</v>
      </c>
      <c r="O394">
        <v>2</v>
      </c>
      <c r="P394">
        <v>150</v>
      </c>
      <c r="Q394">
        <v>0</v>
      </c>
      <c r="R394">
        <v>300</v>
      </c>
      <c r="S394">
        <v>62.7</v>
      </c>
      <c r="T394" t="s">
        <v>50</v>
      </c>
      <c r="U394" t="s">
        <v>51</v>
      </c>
      <c r="V394" t="s">
        <v>117</v>
      </c>
    </row>
    <row r="395" spans="1:22" x14ac:dyDescent="0.35">
      <c r="A395" t="s">
        <v>1037</v>
      </c>
      <c r="B395" s="5">
        <v>45739</v>
      </c>
      <c r="C395" s="5" t="str">
        <f t="shared" si="13"/>
        <v>2025</v>
      </c>
      <c r="D395" s="5" t="str">
        <f t="shared" si="12"/>
        <v>March</v>
      </c>
      <c r="E395" t="s">
        <v>609</v>
      </c>
      <c r="F395" t="s">
        <v>637</v>
      </c>
      <c r="G395" t="s">
        <v>23</v>
      </c>
      <c r="H395">
        <v>49</v>
      </c>
      <c r="I395" t="s">
        <v>46</v>
      </c>
      <c r="J395" t="s">
        <v>25</v>
      </c>
      <c r="K395" t="s">
        <v>26</v>
      </c>
      <c r="L395" t="s">
        <v>27</v>
      </c>
      <c r="M395" t="s">
        <v>28</v>
      </c>
      <c r="N395" t="s">
        <v>40</v>
      </c>
      <c r="O395">
        <v>5</v>
      </c>
      <c r="P395">
        <v>2500</v>
      </c>
      <c r="Q395">
        <v>0</v>
      </c>
      <c r="R395">
        <v>12500</v>
      </c>
      <c r="S395">
        <v>3296.28</v>
      </c>
      <c r="T395" t="s">
        <v>59</v>
      </c>
      <c r="U395" t="s">
        <v>51</v>
      </c>
      <c r="V395" t="s">
        <v>93</v>
      </c>
    </row>
    <row r="396" spans="1:22" x14ac:dyDescent="0.35">
      <c r="A396" t="s">
        <v>1039</v>
      </c>
      <c r="B396" s="5">
        <v>45754</v>
      </c>
      <c r="C396" s="5" t="str">
        <f t="shared" si="13"/>
        <v>2025</v>
      </c>
      <c r="D396" s="5" t="str">
        <f t="shared" si="12"/>
        <v>April</v>
      </c>
      <c r="E396" t="s">
        <v>1041</v>
      </c>
      <c r="F396" t="s">
        <v>257</v>
      </c>
      <c r="G396" t="s">
        <v>37</v>
      </c>
      <c r="H396">
        <v>26</v>
      </c>
      <c r="I396" t="s">
        <v>114</v>
      </c>
      <c r="J396" t="s">
        <v>115</v>
      </c>
      <c r="K396" t="s">
        <v>88</v>
      </c>
      <c r="L396" t="s">
        <v>78</v>
      </c>
      <c r="M396" t="s">
        <v>79</v>
      </c>
      <c r="N396" t="s">
        <v>156</v>
      </c>
      <c r="O396">
        <v>5</v>
      </c>
      <c r="P396">
        <v>800</v>
      </c>
      <c r="Q396">
        <v>5</v>
      </c>
      <c r="R396">
        <v>3800</v>
      </c>
      <c r="S396">
        <v>305.43</v>
      </c>
      <c r="T396" t="s">
        <v>81</v>
      </c>
      <c r="U396" t="s">
        <v>51</v>
      </c>
      <c r="V396" t="s">
        <v>65</v>
      </c>
    </row>
    <row r="397" spans="1:22" x14ac:dyDescent="0.35">
      <c r="A397" t="s">
        <v>1042</v>
      </c>
      <c r="B397" s="5">
        <v>45562</v>
      </c>
      <c r="C397" s="5" t="str">
        <f t="shared" si="13"/>
        <v>2024</v>
      </c>
      <c r="D397" s="5" t="str">
        <f t="shared" si="12"/>
        <v>September</v>
      </c>
      <c r="E397" t="s">
        <v>754</v>
      </c>
      <c r="F397" t="s">
        <v>433</v>
      </c>
      <c r="G397" t="s">
        <v>37</v>
      </c>
      <c r="H397">
        <v>59</v>
      </c>
      <c r="I397" t="s">
        <v>114</v>
      </c>
      <c r="J397" t="s">
        <v>115</v>
      </c>
      <c r="K397" t="s">
        <v>88</v>
      </c>
      <c r="L397" t="s">
        <v>27</v>
      </c>
      <c r="M397" t="s">
        <v>28</v>
      </c>
      <c r="N397" t="s">
        <v>140</v>
      </c>
      <c r="O397">
        <v>5</v>
      </c>
      <c r="P397">
        <v>65000</v>
      </c>
      <c r="Q397">
        <v>5</v>
      </c>
      <c r="R397">
        <v>308750</v>
      </c>
      <c r="S397">
        <v>51055.360000000001</v>
      </c>
      <c r="T397" t="s">
        <v>81</v>
      </c>
      <c r="U397" t="s">
        <v>51</v>
      </c>
      <c r="V397" t="s">
        <v>93</v>
      </c>
    </row>
    <row r="398" spans="1:22" x14ac:dyDescent="0.35">
      <c r="A398" t="s">
        <v>1043</v>
      </c>
      <c r="B398" s="5">
        <v>45374</v>
      </c>
      <c r="C398" s="5" t="str">
        <f t="shared" si="13"/>
        <v>2024</v>
      </c>
      <c r="D398" s="5" t="str">
        <f t="shared" si="12"/>
        <v>March</v>
      </c>
      <c r="E398" t="s">
        <v>405</v>
      </c>
      <c r="F398" t="s">
        <v>295</v>
      </c>
      <c r="G398" t="s">
        <v>37</v>
      </c>
      <c r="H398">
        <v>28</v>
      </c>
      <c r="I398" t="s">
        <v>86</v>
      </c>
      <c r="J398" t="s">
        <v>87</v>
      </c>
      <c r="K398" t="s">
        <v>88</v>
      </c>
      <c r="L398" t="s">
        <v>89</v>
      </c>
      <c r="M398" t="s">
        <v>90</v>
      </c>
      <c r="N398" t="s">
        <v>128</v>
      </c>
      <c r="O398">
        <v>5</v>
      </c>
      <c r="P398">
        <v>7000</v>
      </c>
      <c r="Q398">
        <v>15</v>
      </c>
      <c r="R398">
        <v>29750</v>
      </c>
      <c r="S398">
        <v>8306.52</v>
      </c>
      <c r="T398" t="s">
        <v>50</v>
      </c>
      <c r="U398" t="s">
        <v>51</v>
      </c>
      <c r="V398" t="s">
        <v>52</v>
      </c>
    </row>
    <row r="399" spans="1:22" x14ac:dyDescent="0.35">
      <c r="A399" t="s">
        <v>1044</v>
      </c>
      <c r="B399" s="5">
        <v>45528</v>
      </c>
      <c r="C399" s="5" t="str">
        <f t="shared" si="13"/>
        <v>2024</v>
      </c>
      <c r="D399" s="5" t="str">
        <f t="shared" si="12"/>
        <v>August</v>
      </c>
      <c r="E399" t="s">
        <v>368</v>
      </c>
      <c r="F399" t="s">
        <v>64</v>
      </c>
      <c r="G399" t="s">
        <v>23</v>
      </c>
      <c r="H399">
        <v>24</v>
      </c>
      <c r="I399" t="s">
        <v>38</v>
      </c>
      <c r="J399" t="s">
        <v>39</v>
      </c>
      <c r="K399" t="s">
        <v>26</v>
      </c>
      <c r="L399" t="s">
        <v>47</v>
      </c>
      <c r="M399" t="s">
        <v>48</v>
      </c>
      <c r="N399" t="s">
        <v>49</v>
      </c>
      <c r="O399">
        <v>5</v>
      </c>
      <c r="P399">
        <v>150</v>
      </c>
      <c r="Q399">
        <v>10</v>
      </c>
      <c r="R399">
        <v>675</v>
      </c>
      <c r="S399">
        <v>188.48</v>
      </c>
      <c r="T399" t="s">
        <v>41</v>
      </c>
      <c r="U399" t="s">
        <v>51</v>
      </c>
      <c r="V399" t="s">
        <v>32</v>
      </c>
    </row>
    <row r="400" spans="1:22" x14ac:dyDescent="0.35">
      <c r="A400" t="s">
        <v>1046</v>
      </c>
      <c r="B400" s="5">
        <v>45685</v>
      </c>
      <c r="C400" s="5" t="str">
        <f t="shared" si="13"/>
        <v>2025</v>
      </c>
      <c r="D400" s="5" t="str">
        <f t="shared" si="12"/>
        <v>January</v>
      </c>
      <c r="E400" t="s">
        <v>388</v>
      </c>
      <c r="F400" t="s">
        <v>113</v>
      </c>
      <c r="G400" t="s">
        <v>37</v>
      </c>
      <c r="H400">
        <v>23</v>
      </c>
      <c r="I400" t="s">
        <v>57</v>
      </c>
      <c r="J400" t="s">
        <v>57</v>
      </c>
      <c r="K400" t="s">
        <v>58</v>
      </c>
      <c r="L400" t="s">
        <v>89</v>
      </c>
      <c r="M400" t="s">
        <v>90</v>
      </c>
      <c r="N400" t="s">
        <v>128</v>
      </c>
      <c r="O400">
        <v>1</v>
      </c>
      <c r="P400">
        <v>7000</v>
      </c>
      <c r="Q400">
        <v>5</v>
      </c>
      <c r="R400">
        <v>6650</v>
      </c>
      <c r="S400">
        <v>1002.92</v>
      </c>
      <c r="T400" t="s">
        <v>81</v>
      </c>
      <c r="U400" t="s">
        <v>31</v>
      </c>
      <c r="V400" t="s">
        <v>60</v>
      </c>
    </row>
    <row r="401" spans="1:22" x14ac:dyDescent="0.35">
      <c r="A401" t="s">
        <v>1047</v>
      </c>
      <c r="B401" s="5">
        <v>45592</v>
      </c>
      <c r="C401" s="5" t="str">
        <f t="shared" si="13"/>
        <v>2024</v>
      </c>
      <c r="D401" s="5" t="str">
        <f t="shared" si="12"/>
        <v>October</v>
      </c>
      <c r="E401" t="s">
        <v>1049</v>
      </c>
      <c r="F401" t="s">
        <v>97</v>
      </c>
      <c r="G401" t="s">
        <v>23</v>
      </c>
      <c r="H401">
        <v>34</v>
      </c>
      <c r="I401" t="s">
        <v>57</v>
      </c>
      <c r="J401" t="s">
        <v>57</v>
      </c>
      <c r="K401" t="s">
        <v>58</v>
      </c>
      <c r="L401" t="s">
        <v>78</v>
      </c>
      <c r="M401" t="s">
        <v>79</v>
      </c>
      <c r="N401" t="s">
        <v>101</v>
      </c>
      <c r="O401">
        <v>2</v>
      </c>
      <c r="P401">
        <v>3500</v>
      </c>
      <c r="Q401">
        <v>15</v>
      </c>
      <c r="R401">
        <v>5950</v>
      </c>
      <c r="S401">
        <v>1524.56</v>
      </c>
      <c r="T401" t="s">
        <v>59</v>
      </c>
      <c r="U401" t="s">
        <v>92</v>
      </c>
      <c r="V401" t="s">
        <v>93</v>
      </c>
    </row>
    <row r="402" spans="1:22" x14ac:dyDescent="0.35">
      <c r="A402" t="s">
        <v>1050</v>
      </c>
      <c r="B402" s="5">
        <v>45390</v>
      </c>
      <c r="C402" s="5" t="str">
        <f t="shared" si="13"/>
        <v>2024</v>
      </c>
      <c r="D402" s="5" t="str">
        <f t="shared" si="12"/>
        <v>April</v>
      </c>
      <c r="E402" t="s">
        <v>388</v>
      </c>
      <c r="F402" t="s">
        <v>589</v>
      </c>
      <c r="G402" t="s">
        <v>23</v>
      </c>
      <c r="H402">
        <v>41</v>
      </c>
      <c r="I402" t="s">
        <v>86</v>
      </c>
      <c r="J402" t="s">
        <v>87</v>
      </c>
      <c r="K402" t="s">
        <v>88</v>
      </c>
      <c r="L402" t="s">
        <v>27</v>
      </c>
      <c r="M402" t="s">
        <v>28</v>
      </c>
      <c r="N402" t="s">
        <v>73</v>
      </c>
      <c r="O402">
        <v>4</v>
      </c>
      <c r="P402">
        <v>25000</v>
      </c>
      <c r="Q402">
        <v>5</v>
      </c>
      <c r="R402">
        <v>95000</v>
      </c>
      <c r="S402">
        <v>19062.57</v>
      </c>
      <c r="T402" t="s">
        <v>50</v>
      </c>
      <c r="U402" t="s">
        <v>92</v>
      </c>
      <c r="V402" t="s">
        <v>32</v>
      </c>
    </row>
    <row r="403" spans="1:22" x14ac:dyDescent="0.35">
      <c r="A403" t="s">
        <v>1051</v>
      </c>
      <c r="B403" s="5">
        <v>45525</v>
      </c>
      <c r="C403" s="5" t="str">
        <f t="shared" si="13"/>
        <v>2024</v>
      </c>
      <c r="D403" s="5" t="str">
        <f t="shared" si="12"/>
        <v>August</v>
      </c>
      <c r="E403" t="s">
        <v>274</v>
      </c>
      <c r="F403" t="s">
        <v>903</v>
      </c>
      <c r="G403" t="s">
        <v>37</v>
      </c>
      <c r="H403">
        <v>27</v>
      </c>
      <c r="I403" t="s">
        <v>126</v>
      </c>
      <c r="J403" t="s">
        <v>127</v>
      </c>
      <c r="K403" t="s">
        <v>88</v>
      </c>
      <c r="L403" t="s">
        <v>78</v>
      </c>
      <c r="M403" t="s">
        <v>79</v>
      </c>
      <c r="N403" t="s">
        <v>101</v>
      </c>
      <c r="O403">
        <v>3</v>
      </c>
      <c r="P403">
        <v>3500</v>
      </c>
      <c r="Q403">
        <v>10</v>
      </c>
      <c r="R403">
        <v>9450</v>
      </c>
      <c r="S403">
        <v>1836.85</v>
      </c>
      <c r="T403" t="s">
        <v>30</v>
      </c>
      <c r="U403" t="s">
        <v>51</v>
      </c>
      <c r="V403" t="s">
        <v>117</v>
      </c>
    </row>
    <row r="404" spans="1:22" x14ac:dyDescent="0.35">
      <c r="A404" t="s">
        <v>1052</v>
      </c>
      <c r="B404" s="5">
        <v>45758</v>
      </c>
      <c r="C404" s="5" t="str">
        <f t="shared" si="13"/>
        <v>2025</v>
      </c>
      <c r="D404" s="5" t="str">
        <f t="shared" si="12"/>
        <v>April</v>
      </c>
      <c r="E404" t="s">
        <v>606</v>
      </c>
      <c r="F404" t="s">
        <v>511</v>
      </c>
      <c r="G404" t="s">
        <v>37</v>
      </c>
      <c r="H404">
        <v>32</v>
      </c>
      <c r="I404" t="s">
        <v>86</v>
      </c>
      <c r="J404" t="s">
        <v>87</v>
      </c>
      <c r="K404" t="s">
        <v>88</v>
      </c>
      <c r="L404" t="s">
        <v>78</v>
      </c>
      <c r="M404" t="s">
        <v>79</v>
      </c>
      <c r="N404" t="s">
        <v>80</v>
      </c>
      <c r="O404">
        <v>5</v>
      </c>
      <c r="P404">
        <v>1800</v>
      </c>
      <c r="Q404">
        <v>10</v>
      </c>
      <c r="R404">
        <v>8100</v>
      </c>
      <c r="S404">
        <v>2062.9499999999998</v>
      </c>
      <c r="T404" t="s">
        <v>59</v>
      </c>
      <c r="U404" t="s">
        <v>51</v>
      </c>
      <c r="V404" t="s">
        <v>52</v>
      </c>
    </row>
    <row r="405" spans="1:22" x14ac:dyDescent="0.35">
      <c r="A405" t="s">
        <v>1053</v>
      </c>
      <c r="B405" s="5">
        <v>45352</v>
      </c>
      <c r="C405" s="5" t="str">
        <f t="shared" si="13"/>
        <v>2024</v>
      </c>
      <c r="D405" s="5" t="str">
        <f t="shared" si="12"/>
        <v>March</v>
      </c>
      <c r="E405" t="s">
        <v>594</v>
      </c>
      <c r="F405" t="s">
        <v>1055</v>
      </c>
      <c r="G405" t="s">
        <v>37</v>
      </c>
      <c r="H405">
        <v>21</v>
      </c>
      <c r="I405" t="s">
        <v>126</v>
      </c>
      <c r="J405" t="s">
        <v>127</v>
      </c>
      <c r="K405" t="s">
        <v>88</v>
      </c>
      <c r="L405" t="s">
        <v>27</v>
      </c>
      <c r="M405" t="s">
        <v>28</v>
      </c>
      <c r="N405" t="s">
        <v>140</v>
      </c>
      <c r="O405">
        <v>4</v>
      </c>
      <c r="P405">
        <v>65000</v>
      </c>
      <c r="Q405">
        <v>5</v>
      </c>
      <c r="R405">
        <v>247000</v>
      </c>
      <c r="S405">
        <v>26230.45</v>
      </c>
      <c r="T405" t="s">
        <v>41</v>
      </c>
      <c r="U405" t="s">
        <v>51</v>
      </c>
      <c r="V405" t="s">
        <v>32</v>
      </c>
    </row>
    <row r="406" spans="1:22" x14ac:dyDescent="0.35">
      <c r="A406" t="s">
        <v>1056</v>
      </c>
      <c r="B406" s="5">
        <v>45721</v>
      </c>
      <c r="C406" s="5" t="str">
        <f t="shared" si="13"/>
        <v>2025</v>
      </c>
      <c r="D406" s="5" t="str">
        <f t="shared" si="12"/>
        <v>March</v>
      </c>
      <c r="E406" t="s">
        <v>812</v>
      </c>
      <c r="F406" t="s">
        <v>874</v>
      </c>
      <c r="G406" t="s">
        <v>23</v>
      </c>
      <c r="H406">
        <v>45</v>
      </c>
      <c r="I406" t="s">
        <v>98</v>
      </c>
      <c r="J406" t="s">
        <v>99</v>
      </c>
      <c r="K406" t="s">
        <v>100</v>
      </c>
      <c r="L406" t="s">
        <v>47</v>
      </c>
      <c r="M406" t="s">
        <v>48</v>
      </c>
      <c r="N406" t="s">
        <v>215</v>
      </c>
      <c r="O406">
        <v>5</v>
      </c>
      <c r="P406">
        <v>450</v>
      </c>
      <c r="Q406">
        <v>0</v>
      </c>
      <c r="R406">
        <v>2250</v>
      </c>
      <c r="S406">
        <v>398.03</v>
      </c>
      <c r="T406" t="s">
        <v>81</v>
      </c>
      <c r="U406" t="s">
        <v>92</v>
      </c>
      <c r="V406" t="s">
        <v>60</v>
      </c>
    </row>
    <row r="407" spans="1:22" x14ac:dyDescent="0.35">
      <c r="A407" t="s">
        <v>1057</v>
      </c>
      <c r="B407" s="5">
        <v>45424</v>
      </c>
      <c r="C407" s="5" t="str">
        <f t="shared" si="13"/>
        <v>2024</v>
      </c>
      <c r="D407" s="5" t="str">
        <f t="shared" si="12"/>
        <v>May</v>
      </c>
      <c r="E407" t="s">
        <v>218</v>
      </c>
      <c r="F407" t="s">
        <v>965</v>
      </c>
      <c r="G407" t="s">
        <v>37</v>
      </c>
      <c r="H407">
        <v>57</v>
      </c>
      <c r="I407" t="s">
        <v>126</v>
      </c>
      <c r="J407" t="s">
        <v>127</v>
      </c>
      <c r="K407" t="s">
        <v>88</v>
      </c>
      <c r="L407" t="s">
        <v>89</v>
      </c>
      <c r="M407" t="s">
        <v>90</v>
      </c>
      <c r="N407" t="s">
        <v>242</v>
      </c>
      <c r="O407">
        <v>3</v>
      </c>
      <c r="P407">
        <v>6000</v>
      </c>
      <c r="Q407">
        <v>5</v>
      </c>
      <c r="R407">
        <v>17100</v>
      </c>
      <c r="S407">
        <v>2756.84</v>
      </c>
      <c r="T407" t="s">
        <v>41</v>
      </c>
      <c r="U407" t="s">
        <v>51</v>
      </c>
      <c r="V407" t="s">
        <v>65</v>
      </c>
    </row>
    <row r="408" spans="1:22" x14ac:dyDescent="0.35">
      <c r="A408" t="s">
        <v>1058</v>
      </c>
      <c r="B408" s="5">
        <v>45694</v>
      </c>
      <c r="C408" s="5" t="str">
        <f t="shared" si="13"/>
        <v>2025</v>
      </c>
      <c r="D408" s="5" t="str">
        <f t="shared" si="12"/>
        <v>February</v>
      </c>
      <c r="E408" t="s">
        <v>1060</v>
      </c>
      <c r="F408" t="s">
        <v>483</v>
      </c>
      <c r="G408" t="s">
        <v>37</v>
      </c>
      <c r="H408">
        <v>43</v>
      </c>
      <c r="I408" t="s">
        <v>126</v>
      </c>
      <c r="J408" t="s">
        <v>127</v>
      </c>
      <c r="K408" t="s">
        <v>88</v>
      </c>
      <c r="L408" t="s">
        <v>89</v>
      </c>
      <c r="M408" t="s">
        <v>90</v>
      </c>
      <c r="N408" t="s">
        <v>91</v>
      </c>
      <c r="O408">
        <v>2</v>
      </c>
      <c r="P408">
        <v>9000</v>
      </c>
      <c r="Q408">
        <v>5</v>
      </c>
      <c r="R408">
        <v>17100</v>
      </c>
      <c r="S408">
        <v>4087.93</v>
      </c>
      <c r="T408" t="s">
        <v>41</v>
      </c>
      <c r="U408" t="s">
        <v>31</v>
      </c>
      <c r="V408" t="s">
        <v>117</v>
      </c>
    </row>
    <row r="409" spans="1:22" x14ac:dyDescent="0.35">
      <c r="A409" t="s">
        <v>1061</v>
      </c>
      <c r="B409" s="5">
        <v>45688</v>
      </c>
      <c r="C409" s="5" t="str">
        <f t="shared" si="13"/>
        <v>2025</v>
      </c>
      <c r="D409" s="5" t="str">
        <f t="shared" si="12"/>
        <v>January</v>
      </c>
      <c r="E409" t="s">
        <v>35</v>
      </c>
      <c r="F409" t="s">
        <v>1062</v>
      </c>
      <c r="G409" t="s">
        <v>37</v>
      </c>
      <c r="H409">
        <v>44</v>
      </c>
      <c r="I409" t="s">
        <v>57</v>
      </c>
      <c r="J409" t="s">
        <v>57</v>
      </c>
      <c r="K409" t="s">
        <v>58</v>
      </c>
      <c r="L409" t="s">
        <v>89</v>
      </c>
      <c r="M409" t="s">
        <v>90</v>
      </c>
      <c r="N409" t="s">
        <v>91</v>
      </c>
      <c r="O409">
        <v>1</v>
      </c>
      <c r="P409">
        <v>9000</v>
      </c>
      <c r="Q409">
        <v>10</v>
      </c>
      <c r="R409">
        <v>8100</v>
      </c>
      <c r="S409">
        <v>960.64</v>
      </c>
      <c r="T409" t="s">
        <v>30</v>
      </c>
      <c r="U409" t="s">
        <v>51</v>
      </c>
      <c r="V409" t="s">
        <v>52</v>
      </c>
    </row>
    <row r="410" spans="1:22" x14ac:dyDescent="0.35">
      <c r="A410" t="s">
        <v>1063</v>
      </c>
      <c r="B410" s="5">
        <v>45562</v>
      </c>
      <c r="C410" s="5" t="str">
        <f t="shared" si="13"/>
        <v>2024</v>
      </c>
      <c r="D410" s="5" t="str">
        <f t="shared" si="12"/>
        <v>September</v>
      </c>
      <c r="E410" t="s">
        <v>351</v>
      </c>
      <c r="F410" t="s">
        <v>201</v>
      </c>
      <c r="G410" t="s">
        <v>37</v>
      </c>
      <c r="H410">
        <v>57</v>
      </c>
      <c r="I410" t="s">
        <v>46</v>
      </c>
      <c r="J410" t="s">
        <v>25</v>
      </c>
      <c r="K410" t="s">
        <v>26</v>
      </c>
      <c r="L410" t="s">
        <v>89</v>
      </c>
      <c r="M410" t="s">
        <v>90</v>
      </c>
      <c r="N410" t="s">
        <v>128</v>
      </c>
      <c r="O410">
        <v>2</v>
      </c>
      <c r="P410">
        <v>7000</v>
      </c>
      <c r="Q410">
        <v>20</v>
      </c>
      <c r="R410">
        <v>11200</v>
      </c>
      <c r="S410">
        <v>2613.88</v>
      </c>
      <c r="T410" t="s">
        <v>59</v>
      </c>
      <c r="U410" t="s">
        <v>51</v>
      </c>
      <c r="V410" t="s">
        <v>93</v>
      </c>
    </row>
    <row r="411" spans="1:22" x14ac:dyDescent="0.35">
      <c r="A411" t="s">
        <v>1064</v>
      </c>
      <c r="B411" s="5">
        <v>45332</v>
      </c>
      <c r="C411" s="5" t="str">
        <f t="shared" si="13"/>
        <v>2024</v>
      </c>
      <c r="D411" s="5" t="str">
        <f t="shared" si="12"/>
        <v>February</v>
      </c>
      <c r="E411" t="s">
        <v>233</v>
      </c>
      <c r="F411" t="s">
        <v>193</v>
      </c>
      <c r="G411" t="s">
        <v>23</v>
      </c>
      <c r="H411">
        <v>24</v>
      </c>
      <c r="I411" t="s">
        <v>38</v>
      </c>
      <c r="J411" t="s">
        <v>39</v>
      </c>
      <c r="K411" t="s">
        <v>26</v>
      </c>
      <c r="L411" t="s">
        <v>78</v>
      </c>
      <c r="M411" t="s">
        <v>79</v>
      </c>
      <c r="N411" t="s">
        <v>156</v>
      </c>
      <c r="O411">
        <v>2</v>
      </c>
      <c r="P411">
        <v>800</v>
      </c>
      <c r="Q411">
        <v>5</v>
      </c>
      <c r="R411">
        <v>1520</v>
      </c>
      <c r="S411">
        <v>285.52</v>
      </c>
      <c r="T411" t="s">
        <v>41</v>
      </c>
      <c r="U411" t="s">
        <v>51</v>
      </c>
      <c r="V411" t="s">
        <v>93</v>
      </c>
    </row>
    <row r="412" spans="1:22" x14ac:dyDescent="0.35">
      <c r="A412" t="s">
        <v>1065</v>
      </c>
      <c r="B412" s="5">
        <v>45522</v>
      </c>
      <c r="C412" s="5" t="str">
        <f t="shared" si="13"/>
        <v>2024</v>
      </c>
      <c r="D412" s="5" t="str">
        <f t="shared" si="12"/>
        <v>August</v>
      </c>
      <c r="E412" t="s">
        <v>150</v>
      </c>
      <c r="F412" t="s">
        <v>77</v>
      </c>
      <c r="G412" t="s">
        <v>23</v>
      </c>
      <c r="H412">
        <v>34</v>
      </c>
      <c r="I412" t="s">
        <v>24</v>
      </c>
      <c r="J412" t="s">
        <v>25</v>
      </c>
      <c r="K412" t="s">
        <v>26</v>
      </c>
      <c r="L412" t="s">
        <v>27</v>
      </c>
      <c r="M412" t="s">
        <v>28</v>
      </c>
      <c r="N412" t="s">
        <v>29</v>
      </c>
      <c r="O412">
        <v>4</v>
      </c>
      <c r="P412">
        <v>12000</v>
      </c>
      <c r="Q412">
        <v>20</v>
      </c>
      <c r="R412">
        <v>38400</v>
      </c>
      <c r="S412">
        <v>4752.6400000000003</v>
      </c>
      <c r="T412" t="s">
        <v>59</v>
      </c>
      <c r="U412" t="s">
        <v>51</v>
      </c>
      <c r="V412" t="s">
        <v>32</v>
      </c>
    </row>
    <row r="413" spans="1:22" x14ac:dyDescent="0.35">
      <c r="A413" t="s">
        <v>1067</v>
      </c>
      <c r="B413" s="5">
        <v>45299</v>
      </c>
      <c r="C413" s="5" t="str">
        <f t="shared" si="13"/>
        <v>2024</v>
      </c>
      <c r="D413" s="5" t="str">
        <f t="shared" si="12"/>
        <v>January</v>
      </c>
      <c r="E413" t="s">
        <v>1068</v>
      </c>
      <c r="F413" t="s">
        <v>976</v>
      </c>
      <c r="G413" t="s">
        <v>23</v>
      </c>
      <c r="H413">
        <v>58</v>
      </c>
      <c r="I413" t="s">
        <v>126</v>
      </c>
      <c r="J413" t="s">
        <v>127</v>
      </c>
      <c r="K413" t="s">
        <v>88</v>
      </c>
      <c r="L413" t="s">
        <v>89</v>
      </c>
      <c r="M413" t="s">
        <v>90</v>
      </c>
      <c r="N413" t="s">
        <v>91</v>
      </c>
      <c r="O413">
        <v>2</v>
      </c>
      <c r="P413">
        <v>9000</v>
      </c>
      <c r="Q413">
        <v>0</v>
      </c>
      <c r="R413">
        <v>18000</v>
      </c>
      <c r="S413">
        <v>2404.84</v>
      </c>
      <c r="T413" t="s">
        <v>41</v>
      </c>
      <c r="U413" t="s">
        <v>51</v>
      </c>
      <c r="V413" t="s">
        <v>117</v>
      </c>
    </row>
    <row r="414" spans="1:22" x14ac:dyDescent="0.35">
      <c r="A414" t="s">
        <v>1069</v>
      </c>
      <c r="B414" s="5">
        <v>45400</v>
      </c>
      <c r="C414" s="5" t="str">
        <f t="shared" si="13"/>
        <v>2024</v>
      </c>
      <c r="D414" s="5" t="str">
        <f t="shared" si="12"/>
        <v>April</v>
      </c>
      <c r="E414" t="s">
        <v>229</v>
      </c>
      <c r="F414" t="s">
        <v>324</v>
      </c>
      <c r="G414" t="s">
        <v>37</v>
      </c>
      <c r="H414">
        <v>30</v>
      </c>
      <c r="I414" t="s">
        <v>38</v>
      </c>
      <c r="J414" t="s">
        <v>39</v>
      </c>
      <c r="K414" t="s">
        <v>26</v>
      </c>
      <c r="L414" t="s">
        <v>89</v>
      </c>
      <c r="M414" t="s">
        <v>90</v>
      </c>
      <c r="N414" t="s">
        <v>242</v>
      </c>
      <c r="O414">
        <v>1</v>
      </c>
      <c r="P414">
        <v>6000</v>
      </c>
      <c r="Q414">
        <v>10</v>
      </c>
      <c r="R414">
        <v>5400</v>
      </c>
      <c r="S414">
        <v>1236.18</v>
      </c>
      <c r="T414" t="s">
        <v>50</v>
      </c>
      <c r="U414" t="s">
        <v>51</v>
      </c>
      <c r="V414" t="s">
        <v>52</v>
      </c>
    </row>
    <row r="415" spans="1:22" x14ac:dyDescent="0.35">
      <c r="A415" t="s">
        <v>1071</v>
      </c>
      <c r="B415" s="5">
        <v>45737</v>
      </c>
      <c r="C415" s="5" t="str">
        <f t="shared" si="13"/>
        <v>2025</v>
      </c>
      <c r="D415" s="5" t="str">
        <f t="shared" si="12"/>
        <v>March</v>
      </c>
      <c r="E415" t="s">
        <v>505</v>
      </c>
      <c r="F415" t="s">
        <v>151</v>
      </c>
      <c r="G415" t="s">
        <v>23</v>
      </c>
      <c r="H415">
        <v>30</v>
      </c>
      <c r="I415" t="s">
        <v>57</v>
      </c>
      <c r="J415" t="s">
        <v>57</v>
      </c>
      <c r="K415" t="s">
        <v>58</v>
      </c>
      <c r="L415" t="s">
        <v>27</v>
      </c>
      <c r="M415" t="s">
        <v>28</v>
      </c>
      <c r="N415" t="s">
        <v>140</v>
      </c>
      <c r="O415">
        <v>2</v>
      </c>
      <c r="P415">
        <v>65000</v>
      </c>
      <c r="Q415">
        <v>15</v>
      </c>
      <c r="R415">
        <v>110500</v>
      </c>
      <c r="S415">
        <v>17831.169999999998</v>
      </c>
      <c r="T415" t="s">
        <v>41</v>
      </c>
      <c r="U415" t="s">
        <v>31</v>
      </c>
      <c r="V415" t="s">
        <v>93</v>
      </c>
    </row>
    <row r="416" spans="1:22" x14ac:dyDescent="0.35">
      <c r="A416" t="s">
        <v>1073</v>
      </c>
      <c r="B416" s="5">
        <v>45343</v>
      </c>
      <c r="C416" s="5" t="str">
        <f t="shared" si="13"/>
        <v>2024</v>
      </c>
      <c r="D416" s="5" t="str">
        <f t="shared" si="12"/>
        <v>February</v>
      </c>
      <c r="E416" t="s">
        <v>331</v>
      </c>
      <c r="F416" t="s">
        <v>175</v>
      </c>
      <c r="G416" t="s">
        <v>37</v>
      </c>
      <c r="H416">
        <v>27</v>
      </c>
      <c r="I416" t="s">
        <v>98</v>
      </c>
      <c r="J416" t="s">
        <v>99</v>
      </c>
      <c r="K416" t="s">
        <v>100</v>
      </c>
      <c r="L416" t="s">
        <v>47</v>
      </c>
      <c r="M416" t="s">
        <v>48</v>
      </c>
      <c r="N416" t="s">
        <v>49</v>
      </c>
      <c r="O416">
        <v>2</v>
      </c>
      <c r="P416">
        <v>150</v>
      </c>
      <c r="Q416">
        <v>10</v>
      </c>
      <c r="R416">
        <v>270</v>
      </c>
      <c r="S416">
        <v>75.17</v>
      </c>
      <c r="T416" t="s">
        <v>41</v>
      </c>
      <c r="U416" t="s">
        <v>92</v>
      </c>
      <c r="V416" t="s">
        <v>65</v>
      </c>
    </row>
    <row r="417" spans="1:22" x14ac:dyDescent="0.35">
      <c r="A417" t="s">
        <v>1075</v>
      </c>
      <c r="B417" s="5">
        <v>45767</v>
      </c>
      <c r="C417" s="5" t="str">
        <f t="shared" si="13"/>
        <v>2025</v>
      </c>
      <c r="D417" s="5" t="str">
        <f t="shared" si="12"/>
        <v>April</v>
      </c>
      <c r="E417" t="s">
        <v>609</v>
      </c>
      <c r="F417" t="s">
        <v>1076</v>
      </c>
      <c r="G417" t="s">
        <v>23</v>
      </c>
      <c r="H417">
        <v>47</v>
      </c>
      <c r="I417" t="s">
        <v>98</v>
      </c>
      <c r="J417" t="s">
        <v>99</v>
      </c>
      <c r="K417" t="s">
        <v>100</v>
      </c>
      <c r="L417" t="s">
        <v>78</v>
      </c>
      <c r="M417" t="s">
        <v>79</v>
      </c>
      <c r="N417" t="s">
        <v>80</v>
      </c>
      <c r="O417">
        <v>2</v>
      </c>
      <c r="P417">
        <v>1800</v>
      </c>
      <c r="Q417">
        <v>0</v>
      </c>
      <c r="R417">
        <v>3600</v>
      </c>
      <c r="S417">
        <v>836.25</v>
      </c>
      <c r="T417" t="s">
        <v>50</v>
      </c>
      <c r="U417" t="s">
        <v>51</v>
      </c>
      <c r="V417" t="s">
        <v>60</v>
      </c>
    </row>
    <row r="418" spans="1:22" x14ac:dyDescent="0.35">
      <c r="A418" t="s">
        <v>1077</v>
      </c>
      <c r="B418" s="5">
        <v>45513</v>
      </c>
      <c r="C418" s="5" t="str">
        <f t="shared" si="13"/>
        <v>2024</v>
      </c>
      <c r="D418" s="5" t="str">
        <f t="shared" si="12"/>
        <v>August</v>
      </c>
      <c r="E418" t="s">
        <v>1068</v>
      </c>
      <c r="F418" t="s">
        <v>358</v>
      </c>
      <c r="G418" t="s">
        <v>37</v>
      </c>
      <c r="H418">
        <v>38</v>
      </c>
      <c r="I418" t="s">
        <v>98</v>
      </c>
      <c r="J418" t="s">
        <v>99</v>
      </c>
      <c r="K418" t="s">
        <v>100</v>
      </c>
      <c r="L418" t="s">
        <v>27</v>
      </c>
      <c r="M418" t="s">
        <v>28</v>
      </c>
      <c r="N418" t="s">
        <v>40</v>
      </c>
      <c r="O418">
        <v>2</v>
      </c>
      <c r="P418">
        <v>2500</v>
      </c>
      <c r="Q418">
        <v>0</v>
      </c>
      <c r="R418">
        <v>5000</v>
      </c>
      <c r="S418">
        <v>1069.8699999999999</v>
      </c>
      <c r="T418" t="s">
        <v>59</v>
      </c>
      <c r="U418" t="s">
        <v>51</v>
      </c>
      <c r="V418" t="s">
        <v>32</v>
      </c>
    </row>
    <row r="419" spans="1:22" x14ac:dyDescent="0.35">
      <c r="A419" t="s">
        <v>1078</v>
      </c>
      <c r="B419" s="5">
        <v>45735</v>
      </c>
      <c r="C419" s="5" t="str">
        <f t="shared" si="13"/>
        <v>2025</v>
      </c>
      <c r="D419" s="5" t="str">
        <f t="shared" si="12"/>
        <v>March</v>
      </c>
      <c r="E419" t="s">
        <v>1049</v>
      </c>
      <c r="F419" t="s">
        <v>1079</v>
      </c>
      <c r="G419" t="s">
        <v>37</v>
      </c>
      <c r="H419">
        <v>28</v>
      </c>
      <c r="I419" t="s">
        <v>114</v>
      </c>
      <c r="J419" t="s">
        <v>115</v>
      </c>
      <c r="K419" t="s">
        <v>88</v>
      </c>
      <c r="L419" t="s">
        <v>89</v>
      </c>
      <c r="M419" t="s">
        <v>90</v>
      </c>
      <c r="N419" t="s">
        <v>128</v>
      </c>
      <c r="O419">
        <v>1</v>
      </c>
      <c r="P419">
        <v>7000</v>
      </c>
      <c r="Q419">
        <v>15</v>
      </c>
      <c r="R419">
        <v>5950</v>
      </c>
      <c r="S419">
        <v>797.85</v>
      </c>
      <c r="T419" t="s">
        <v>30</v>
      </c>
      <c r="U419" t="s">
        <v>31</v>
      </c>
      <c r="V419" t="s">
        <v>32</v>
      </c>
    </row>
    <row r="420" spans="1:22" x14ac:dyDescent="0.35">
      <c r="A420" t="s">
        <v>1080</v>
      </c>
      <c r="B420" s="5">
        <v>45720</v>
      </c>
      <c r="C420" s="5" t="str">
        <f t="shared" si="13"/>
        <v>2025</v>
      </c>
      <c r="D420" s="5" t="str">
        <f t="shared" si="12"/>
        <v>March</v>
      </c>
      <c r="E420" t="s">
        <v>143</v>
      </c>
      <c r="F420" t="s">
        <v>393</v>
      </c>
      <c r="G420" t="s">
        <v>23</v>
      </c>
      <c r="H420">
        <v>48</v>
      </c>
      <c r="I420" t="s">
        <v>86</v>
      </c>
      <c r="J420" t="s">
        <v>87</v>
      </c>
      <c r="K420" t="s">
        <v>88</v>
      </c>
      <c r="L420" t="s">
        <v>47</v>
      </c>
      <c r="M420" t="s">
        <v>48</v>
      </c>
      <c r="N420" t="s">
        <v>116</v>
      </c>
      <c r="O420">
        <v>1</v>
      </c>
      <c r="P420">
        <v>120</v>
      </c>
      <c r="Q420">
        <v>15</v>
      </c>
      <c r="R420">
        <v>102</v>
      </c>
      <c r="S420">
        <v>14.55</v>
      </c>
      <c r="T420" t="s">
        <v>41</v>
      </c>
      <c r="U420" t="s">
        <v>51</v>
      </c>
      <c r="V420" t="s">
        <v>60</v>
      </c>
    </row>
    <row r="421" spans="1:22" x14ac:dyDescent="0.35">
      <c r="A421" t="s">
        <v>1081</v>
      </c>
      <c r="B421" s="5">
        <v>45626</v>
      </c>
      <c r="C421" s="5" t="str">
        <f t="shared" si="13"/>
        <v>2024</v>
      </c>
      <c r="D421" s="5" t="str">
        <f t="shared" si="12"/>
        <v>November</v>
      </c>
      <c r="E421" t="s">
        <v>135</v>
      </c>
      <c r="F421" t="s">
        <v>441</v>
      </c>
      <c r="G421" t="s">
        <v>23</v>
      </c>
      <c r="H421">
        <v>55</v>
      </c>
      <c r="I421" t="s">
        <v>126</v>
      </c>
      <c r="J421" t="s">
        <v>127</v>
      </c>
      <c r="K421" t="s">
        <v>88</v>
      </c>
      <c r="L421" t="s">
        <v>27</v>
      </c>
      <c r="M421" t="s">
        <v>28</v>
      </c>
      <c r="N421" t="s">
        <v>73</v>
      </c>
      <c r="O421">
        <v>4</v>
      </c>
      <c r="P421">
        <v>25000</v>
      </c>
      <c r="Q421">
        <v>10</v>
      </c>
      <c r="R421">
        <v>90000</v>
      </c>
      <c r="S421">
        <v>15897.63</v>
      </c>
      <c r="T421" t="s">
        <v>59</v>
      </c>
      <c r="U421" t="s">
        <v>51</v>
      </c>
      <c r="V421" t="s">
        <v>117</v>
      </c>
    </row>
    <row r="422" spans="1:22" x14ac:dyDescent="0.35">
      <c r="A422" t="s">
        <v>1083</v>
      </c>
      <c r="B422" s="5">
        <v>45612</v>
      </c>
      <c r="C422" s="5" t="str">
        <f t="shared" si="13"/>
        <v>2024</v>
      </c>
      <c r="D422" s="5" t="str">
        <f t="shared" si="12"/>
        <v>November</v>
      </c>
      <c r="E422" t="s">
        <v>274</v>
      </c>
      <c r="F422" t="s">
        <v>164</v>
      </c>
      <c r="G422" t="s">
        <v>23</v>
      </c>
      <c r="H422">
        <v>32</v>
      </c>
      <c r="I422" t="s">
        <v>38</v>
      </c>
      <c r="J422" t="s">
        <v>39</v>
      </c>
      <c r="K422" t="s">
        <v>26</v>
      </c>
      <c r="L422" t="s">
        <v>47</v>
      </c>
      <c r="M422" t="s">
        <v>48</v>
      </c>
      <c r="N422" t="s">
        <v>49</v>
      </c>
      <c r="O422">
        <v>2</v>
      </c>
      <c r="P422">
        <v>150</v>
      </c>
      <c r="Q422">
        <v>5</v>
      </c>
      <c r="R422">
        <v>285</v>
      </c>
      <c r="S422">
        <v>61.44</v>
      </c>
      <c r="T422" t="s">
        <v>59</v>
      </c>
      <c r="U422" t="s">
        <v>92</v>
      </c>
      <c r="V422" t="s">
        <v>93</v>
      </c>
    </row>
    <row r="423" spans="1:22" x14ac:dyDescent="0.35">
      <c r="A423" t="s">
        <v>1084</v>
      </c>
      <c r="B423" s="5">
        <v>45495</v>
      </c>
      <c r="C423" s="5" t="str">
        <f t="shared" si="13"/>
        <v>2024</v>
      </c>
      <c r="D423" s="5" t="str">
        <f t="shared" si="12"/>
        <v>July</v>
      </c>
      <c r="E423" t="s">
        <v>975</v>
      </c>
      <c r="F423" t="s">
        <v>64</v>
      </c>
      <c r="G423" t="s">
        <v>37</v>
      </c>
      <c r="H423">
        <v>46</v>
      </c>
      <c r="I423" t="s">
        <v>24</v>
      </c>
      <c r="J423" t="s">
        <v>25</v>
      </c>
      <c r="K423" t="s">
        <v>26</v>
      </c>
      <c r="L423" t="s">
        <v>47</v>
      </c>
      <c r="M423" t="s">
        <v>48</v>
      </c>
      <c r="N423" t="s">
        <v>49</v>
      </c>
      <c r="O423">
        <v>4</v>
      </c>
      <c r="P423">
        <v>150</v>
      </c>
      <c r="Q423">
        <v>0</v>
      </c>
      <c r="R423">
        <v>600</v>
      </c>
      <c r="S423">
        <v>122.03</v>
      </c>
      <c r="T423" t="s">
        <v>81</v>
      </c>
      <c r="U423" t="s">
        <v>31</v>
      </c>
      <c r="V423" t="s">
        <v>93</v>
      </c>
    </row>
    <row r="424" spans="1:22" x14ac:dyDescent="0.35">
      <c r="A424" t="s">
        <v>1085</v>
      </c>
      <c r="B424" s="5">
        <v>45521</v>
      </c>
      <c r="C424" s="5" t="str">
        <f t="shared" si="13"/>
        <v>2024</v>
      </c>
      <c r="D424" s="5" t="str">
        <f t="shared" si="12"/>
        <v>August</v>
      </c>
      <c r="E424" t="s">
        <v>320</v>
      </c>
      <c r="F424" t="s">
        <v>1055</v>
      </c>
      <c r="G424" t="s">
        <v>23</v>
      </c>
      <c r="H424">
        <v>20</v>
      </c>
      <c r="I424" t="s">
        <v>38</v>
      </c>
      <c r="J424" t="s">
        <v>39</v>
      </c>
      <c r="K424" t="s">
        <v>26</v>
      </c>
      <c r="L424" t="s">
        <v>47</v>
      </c>
      <c r="M424" t="s">
        <v>48</v>
      </c>
      <c r="N424" t="s">
        <v>116</v>
      </c>
      <c r="O424">
        <v>4</v>
      </c>
      <c r="P424">
        <v>120</v>
      </c>
      <c r="Q424">
        <v>15</v>
      </c>
      <c r="R424">
        <v>408</v>
      </c>
      <c r="S424">
        <v>108.99</v>
      </c>
      <c r="T424" t="s">
        <v>50</v>
      </c>
      <c r="U424" t="s">
        <v>92</v>
      </c>
      <c r="V424" t="s">
        <v>93</v>
      </c>
    </row>
    <row r="425" spans="1:22" x14ac:dyDescent="0.35">
      <c r="A425" t="s">
        <v>1086</v>
      </c>
      <c r="B425" s="5">
        <v>45808</v>
      </c>
      <c r="C425" s="5" t="str">
        <f t="shared" si="13"/>
        <v>2025</v>
      </c>
      <c r="D425" s="5" t="str">
        <f t="shared" si="12"/>
        <v>May</v>
      </c>
      <c r="E425" t="s">
        <v>200</v>
      </c>
      <c r="F425" t="s">
        <v>633</v>
      </c>
      <c r="G425" t="s">
        <v>23</v>
      </c>
      <c r="H425">
        <v>44</v>
      </c>
      <c r="I425" t="s">
        <v>38</v>
      </c>
      <c r="J425" t="s">
        <v>39</v>
      </c>
      <c r="K425" t="s">
        <v>26</v>
      </c>
      <c r="L425" t="s">
        <v>89</v>
      </c>
      <c r="M425" t="s">
        <v>90</v>
      </c>
      <c r="N425" t="s">
        <v>128</v>
      </c>
      <c r="O425">
        <v>1</v>
      </c>
      <c r="P425">
        <v>7000</v>
      </c>
      <c r="Q425">
        <v>0</v>
      </c>
      <c r="R425">
        <v>7000</v>
      </c>
      <c r="S425">
        <v>1745.59</v>
      </c>
      <c r="T425" t="s">
        <v>30</v>
      </c>
      <c r="U425" t="s">
        <v>51</v>
      </c>
      <c r="V425" t="s">
        <v>60</v>
      </c>
    </row>
    <row r="426" spans="1:22" x14ac:dyDescent="0.35">
      <c r="A426" t="s">
        <v>1088</v>
      </c>
      <c r="B426" s="5">
        <v>45379</v>
      </c>
      <c r="C426" s="5" t="str">
        <f t="shared" si="13"/>
        <v>2024</v>
      </c>
      <c r="D426" s="5" t="str">
        <f t="shared" si="12"/>
        <v>March</v>
      </c>
      <c r="E426" t="s">
        <v>554</v>
      </c>
      <c r="F426" t="s">
        <v>271</v>
      </c>
      <c r="G426" t="s">
        <v>37</v>
      </c>
      <c r="H426">
        <v>52</v>
      </c>
      <c r="I426" t="s">
        <v>114</v>
      </c>
      <c r="J426" t="s">
        <v>115</v>
      </c>
      <c r="K426" t="s">
        <v>88</v>
      </c>
      <c r="L426" t="s">
        <v>89</v>
      </c>
      <c r="M426" t="s">
        <v>90</v>
      </c>
      <c r="N426" t="s">
        <v>91</v>
      </c>
      <c r="O426">
        <v>1</v>
      </c>
      <c r="P426">
        <v>9000</v>
      </c>
      <c r="Q426">
        <v>20</v>
      </c>
      <c r="R426">
        <v>7200</v>
      </c>
      <c r="S426">
        <v>857.42</v>
      </c>
      <c r="T426" t="s">
        <v>50</v>
      </c>
      <c r="U426" t="s">
        <v>92</v>
      </c>
      <c r="V426" t="s">
        <v>60</v>
      </c>
    </row>
    <row r="427" spans="1:22" x14ac:dyDescent="0.35">
      <c r="A427" t="s">
        <v>1090</v>
      </c>
      <c r="B427" s="5">
        <v>45616</v>
      </c>
      <c r="C427" s="5" t="str">
        <f t="shared" si="13"/>
        <v>2024</v>
      </c>
      <c r="D427" s="5" t="str">
        <f t="shared" si="12"/>
        <v>November</v>
      </c>
      <c r="E427" t="s">
        <v>405</v>
      </c>
      <c r="F427" t="s">
        <v>257</v>
      </c>
      <c r="G427" t="s">
        <v>23</v>
      </c>
      <c r="H427">
        <v>48</v>
      </c>
      <c r="I427" t="s">
        <v>46</v>
      </c>
      <c r="J427" t="s">
        <v>25</v>
      </c>
      <c r="K427" t="s">
        <v>26</v>
      </c>
      <c r="L427" t="s">
        <v>89</v>
      </c>
      <c r="M427" t="s">
        <v>90</v>
      </c>
      <c r="N427" t="s">
        <v>91</v>
      </c>
      <c r="O427">
        <v>1</v>
      </c>
      <c r="P427">
        <v>9000</v>
      </c>
      <c r="Q427">
        <v>0</v>
      </c>
      <c r="R427">
        <v>9000</v>
      </c>
      <c r="S427">
        <v>2091.2399999999998</v>
      </c>
      <c r="T427" t="s">
        <v>50</v>
      </c>
      <c r="U427" t="s">
        <v>51</v>
      </c>
      <c r="V427" t="s">
        <v>60</v>
      </c>
    </row>
    <row r="428" spans="1:22" x14ac:dyDescent="0.35">
      <c r="A428" t="s">
        <v>1092</v>
      </c>
      <c r="B428" s="5">
        <v>45722</v>
      </c>
      <c r="C428" s="5" t="str">
        <f t="shared" si="13"/>
        <v>2025</v>
      </c>
      <c r="D428" s="5" t="str">
        <f t="shared" si="12"/>
        <v>March</v>
      </c>
      <c r="E428" t="s">
        <v>171</v>
      </c>
      <c r="F428" t="s">
        <v>637</v>
      </c>
      <c r="G428" t="s">
        <v>23</v>
      </c>
      <c r="H428">
        <v>35</v>
      </c>
      <c r="I428" t="s">
        <v>86</v>
      </c>
      <c r="J428" t="s">
        <v>87</v>
      </c>
      <c r="K428" t="s">
        <v>88</v>
      </c>
      <c r="L428" t="s">
        <v>78</v>
      </c>
      <c r="M428" t="s">
        <v>79</v>
      </c>
      <c r="N428" t="s">
        <v>156</v>
      </c>
      <c r="O428">
        <v>2</v>
      </c>
      <c r="P428">
        <v>800</v>
      </c>
      <c r="Q428">
        <v>5</v>
      </c>
      <c r="R428">
        <v>1520</v>
      </c>
      <c r="S428">
        <v>298.58</v>
      </c>
      <c r="T428" t="s">
        <v>81</v>
      </c>
      <c r="U428" t="s">
        <v>51</v>
      </c>
      <c r="V428" t="s">
        <v>65</v>
      </c>
    </row>
    <row r="429" spans="1:22" x14ac:dyDescent="0.35">
      <c r="A429" t="s">
        <v>1093</v>
      </c>
      <c r="B429" s="5">
        <v>45663</v>
      </c>
      <c r="C429" s="5" t="str">
        <f t="shared" si="13"/>
        <v>2025</v>
      </c>
      <c r="D429" s="5" t="str">
        <f t="shared" si="12"/>
        <v>January</v>
      </c>
      <c r="E429" t="s">
        <v>108</v>
      </c>
      <c r="F429" t="s">
        <v>883</v>
      </c>
      <c r="G429" t="s">
        <v>23</v>
      </c>
      <c r="H429">
        <v>25</v>
      </c>
      <c r="I429" t="s">
        <v>57</v>
      </c>
      <c r="J429" t="s">
        <v>57</v>
      </c>
      <c r="K429" t="s">
        <v>58</v>
      </c>
      <c r="L429" t="s">
        <v>89</v>
      </c>
      <c r="M429" t="s">
        <v>90</v>
      </c>
      <c r="N429" t="s">
        <v>91</v>
      </c>
      <c r="O429">
        <v>2</v>
      </c>
      <c r="P429">
        <v>9000</v>
      </c>
      <c r="Q429">
        <v>15</v>
      </c>
      <c r="R429">
        <v>15300</v>
      </c>
      <c r="S429">
        <v>1613.98</v>
      </c>
      <c r="T429" t="s">
        <v>81</v>
      </c>
      <c r="U429" t="s">
        <v>51</v>
      </c>
      <c r="V429" t="s">
        <v>32</v>
      </c>
    </row>
    <row r="430" spans="1:22" x14ac:dyDescent="0.35">
      <c r="A430" t="s">
        <v>1094</v>
      </c>
      <c r="B430" s="5">
        <v>45753</v>
      </c>
      <c r="C430" s="5" t="str">
        <f t="shared" si="13"/>
        <v>2025</v>
      </c>
      <c r="D430" s="5" t="str">
        <f t="shared" si="12"/>
        <v>April</v>
      </c>
      <c r="E430" t="s">
        <v>1095</v>
      </c>
      <c r="F430" t="s">
        <v>982</v>
      </c>
      <c r="G430" t="s">
        <v>37</v>
      </c>
      <c r="H430">
        <v>30</v>
      </c>
      <c r="I430" t="s">
        <v>98</v>
      </c>
      <c r="J430" t="s">
        <v>99</v>
      </c>
      <c r="K430" t="s">
        <v>100</v>
      </c>
      <c r="L430" t="s">
        <v>47</v>
      </c>
      <c r="M430" t="s">
        <v>48</v>
      </c>
      <c r="N430" t="s">
        <v>215</v>
      </c>
      <c r="O430">
        <v>3</v>
      </c>
      <c r="P430">
        <v>450</v>
      </c>
      <c r="Q430">
        <v>20</v>
      </c>
      <c r="R430">
        <v>1080</v>
      </c>
      <c r="S430">
        <v>202.01</v>
      </c>
      <c r="T430" t="s">
        <v>81</v>
      </c>
      <c r="U430" t="s">
        <v>51</v>
      </c>
      <c r="V430" t="s">
        <v>60</v>
      </c>
    </row>
    <row r="431" spans="1:22" x14ac:dyDescent="0.35">
      <c r="A431" t="s">
        <v>1096</v>
      </c>
      <c r="B431" s="5">
        <v>45303</v>
      </c>
      <c r="C431" s="5" t="str">
        <f t="shared" si="13"/>
        <v>2024</v>
      </c>
      <c r="D431" s="5" t="str">
        <f t="shared" si="12"/>
        <v>January</v>
      </c>
      <c r="E431" t="s">
        <v>392</v>
      </c>
      <c r="F431" t="s">
        <v>972</v>
      </c>
      <c r="G431" t="s">
        <v>23</v>
      </c>
      <c r="H431">
        <v>21</v>
      </c>
      <c r="I431" t="s">
        <v>86</v>
      </c>
      <c r="J431" t="s">
        <v>87</v>
      </c>
      <c r="K431" t="s">
        <v>88</v>
      </c>
      <c r="L431" t="s">
        <v>27</v>
      </c>
      <c r="M431" t="s">
        <v>28</v>
      </c>
      <c r="N431" t="s">
        <v>29</v>
      </c>
      <c r="O431">
        <v>4</v>
      </c>
      <c r="P431">
        <v>12000</v>
      </c>
      <c r="Q431">
        <v>10</v>
      </c>
      <c r="R431">
        <v>43200</v>
      </c>
      <c r="S431">
        <v>3942.78</v>
      </c>
      <c r="T431" t="s">
        <v>81</v>
      </c>
      <c r="U431" t="s">
        <v>51</v>
      </c>
      <c r="V431" t="s">
        <v>32</v>
      </c>
    </row>
    <row r="432" spans="1:22" x14ac:dyDescent="0.35">
      <c r="A432" t="s">
        <v>1097</v>
      </c>
      <c r="B432" s="5">
        <v>45628</v>
      </c>
      <c r="C432" s="5" t="str">
        <f t="shared" si="13"/>
        <v>2024</v>
      </c>
      <c r="D432" s="5" t="str">
        <f t="shared" si="12"/>
        <v>December</v>
      </c>
      <c r="E432" t="s">
        <v>252</v>
      </c>
      <c r="F432" t="s">
        <v>374</v>
      </c>
      <c r="G432" t="s">
        <v>37</v>
      </c>
      <c r="H432">
        <v>60</v>
      </c>
      <c r="I432" t="s">
        <v>57</v>
      </c>
      <c r="J432" t="s">
        <v>57</v>
      </c>
      <c r="K432" t="s">
        <v>58</v>
      </c>
      <c r="L432" t="s">
        <v>47</v>
      </c>
      <c r="M432" t="s">
        <v>48</v>
      </c>
      <c r="N432" t="s">
        <v>215</v>
      </c>
      <c r="O432">
        <v>2</v>
      </c>
      <c r="P432">
        <v>450</v>
      </c>
      <c r="Q432">
        <v>20</v>
      </c>
      <c r="R432">
        <v>720</v>
      </c>
      <c r="S432">
        <v>175.09</v>
      </c>
      <c r="T432" t="s">
        <v>30</v>
      </c>
      <c r="U432" t="s">
        <v>31</v>
      </c>
      <c r="V432" t="s">
        <v>32</v>
      </c>
    </row>
    <row r="433" spans="1:22" x14ac:dyDescent="0.35">
      <c r="A433" t="s">
        <v>1099</v>
      </c>
      <c r="B433" s="5">
        <v>45788</v>
      </c>
      <c r="C433" s="5" t="str">
        <f t="shared" si="13"/>
        <v>2025</v>
      </c>
      <c r="D433" s="5" t="str">
        <f t="shared" si="12"/>
        <v>May</v>
      </c>
      <c r="E433" t="s">
        <v>21</v>
      </c>
      <c r="F433" t="s">
        <v>257</v>
      </c>
      <c r="G433" t="s">
        <v>23</v>
      </c>
      <c r="H433">
        <v>55</v>
      </c>
      <c r="I433" t="s">
        <v>46</v>
      </c>
      <c r="J433" t="s">
        <v>25</v>
      </c>
      <c r="K433" t="s">
        <v>26</v>
      </c>
      <c r="L433" t="s">
        <v>78</v>
      </c>
      <c r="M433" t="s">
        <v>79</v>
      </c>
      <c r="N433" t="s">
        <v>156</v>
      </c>
      <c r="O433">
        <v>1</v>
      </c>
      <c r="P433">
        <v>800</v>
      </c>
      <c r="Q433">
        <v>20</v>
      </c>
      <c r="R433">
        <v>640</v>
      </c>
      <c r="S433">
        <v>103.89</v>
      </c>
      <c r="T433" t="s">
        <v>30</v>
      </c>
      <c r="U433" t="s">
        <v>92</v>
      </c>
      <c r="V433" t="s">
        <v>93</v>
      </c>
    </row>
    <row r="434" spans="1:22" x14ac:dyDescent="0.35">
      <c r="A434" t="s">
        <v>1101</v>
      </c>
      <c r="B434" s="5">
        <v>45772</v>
      </c>
      <c r="C434" s="5" t="str">
        <f t="shared" si="13"/>
        <v>2025</v>
      </c>
      <c r="D434" s="5" t="str">
        <f t="shared" si="12"/>
        <v>April</v>
      </c>
      <c r="E434" t="s">
        <v>1103</v>
      </c>
      <c r="F434" t="s">
        <v>1104</v>
      </c>
      <c r="G434" t="s">
        <v>37</v>
      </c>
      <c r="H434">
        <v>59</v>
      </c>
      <c r="I434" t="s">
        <v>114</v>
      </c>
      <c r="J434" t="s">
        <v>115</v>
      </c>
      <c r="K434" t="s">
        <v>88</v>
      </c>
      <c r="L434" t="s">
        <v>47</v>
      </c>
      <c r="M434" t="s">
        <v>48</v>
      </c>
      <c r="N434" t="s">
        <v>215</v>
      </c>
      <c r="O434">
        <v>4</v>
      </c>
      <c r="P434">
        <v>450</v>
      </c>
      <c r="Q434">
        <v>20</v>
      </c>
      <c r="R434">
        <v>1440</v>
      </c>
      <c r="S434">
        <v>325.18</v>
      </c>
      <c r="T434" t="s">
        <v>81</v>
      </c>
      <c r="U434" t="s">
        <v>92</v>
      </c>
      <c r="V434" t="s">
        <v>93</v>
      </c>
    </row>
    <row r="435" spans="1:22" x14ac:dyDescent="0.35">
      <c r="A435" t="s">
        <v>1105</v>
      </c>
      <c r="B435" s="5">
        <v>45720</v>
      </c>
      <c r="C435" s="5" t="str">
        <f t="shared" si="13"/>
        <v>2025</v>
      </c>
      <c r="D435" s="5" t="str">
        <f t="shared" si="12"/>
        <v>March</v>
      </c>
      <c r="E435" t="s">
        <v>606</v>
      </c>
      <c r="F435" t="s">
        <v>433</v>
      </c>
      <c r="G435" t="s">
        <v>37</v>
      </c>
      <c r="H435">
        <v>28</v>
      </c>
      <c r="I435" t="s">
        <v>114</v>
      </c>
      <c r="J435" t="s">
        <v>115</v>
      </c>
      <c r="K435" t="s">
        <v>88</v>
      </c>
      <c r="L435" t="s">
        <v>78</v>
      </c>
      <c r="M435" t="s">
        <v>79</v>
      </c>
      <c r="N435" t="s">
        <v>80</v>
      </c>
      <c r="O435">
        <v>4</v>
      </c>
      <c r="P435">
        <v>1800</v>
      </c>
      <c r="Q435">
        <v>20</v>
      </c>
      <c r="R435">
        <v>5760</v>
      </c>
      <c r="S435">
        <v>1176.8900000000001</v>
      </c>
      <c r="T435" t="s">
        <v>30</v>
      </c>
      <c r="U435" t="s">
        <v>31</v>
      </c>
      <c r="V435" t="s">
        <v>65</v>
      </c>
    </row>
    <row r="436" spans="1:22" x14ac:dyDescent="0.35">
      <c r="A436" t="s">
        <v>1106</v>
      </c>
      <c r="B436" s="5">
        <v>45339</v>
      </c>
      <c r="C436" s="5" t="str">
        <f t="shared" si="13"/>
        <v>2024</v>
      </c>
      <c r="D436" s="5" t="str">
        <f t="shared" si="12"/>
        <v>February</v>
      </c>
      <c r="E436" t="s">
        <v>146</v>
      </c>
      <c r="F436" t="s">
        <v>136</v>
      </c>
      <c r="G436" t="s">
        <v>23</v>
      </c>
      <c r="H436">
        <v>55</v>
      </c>
      <c r="I436" t="s">
        <v>46</v>
      </c>
      <c r="J436" t="s">
        <v>25</v>
      </c>
      <c r="K436" t="s">
        <v>26</v>
      </c>
      <c r="L436" t="s">
        <v>78</v>
      </c>
      <c r="M436" t="s">
        <v>79</v>
      </c>
      <c r="N436" t="s">
        <v>156</v>
      </c>
      <c r="O436">
        <v>5</v>
      </c>
      <c r="P436">
        <v>800</v>
      </c>
      <c r="Q436">
        <v>15</v>
      </c>
      <c r="R436">
        <v>3400</v>
      </c>
      <c r="S436">
        <v>536.61</v>
      </c>
      <c r="T436" t="s">
        <v>59</v>
      </c>
      <c r="U436" t="s">
        <v>51</v>
      </c>
      <c r="V436" t="s">
        <v>52</v>
      </c>
    </row>
    <row r="437" spans="1:22" x14ac:dyDescent="0.35">
      <c r="A437" t="s">
        <v>1107</v>
      </c>
      <c r="B437" s="5">
        <v>45599</v>
      </c>
      <c r="C437" s="5" t="str">
        <f t="shared" si="13"/>
        <v>2024</v>
      </c>
      <c r="D437" s="5" t="str">
        <f t="shared" si="12"/>
        <v>November</v>
      </c>
      <c r="E437" t="s">
        <v>474</v>
      </c>
      <c r="F437" t="s">
        <v>453</v>
      </c>
      <c r="G437" t="s">
        <v>37</v>
      </c>
      <c r="H437">
        <v>39</v>
      </c>
      <c r="I437" t="s">
        <v>126</v>
      </c>
      <c r="J437" t="s">
        <v>127</v>
      </c>
      <c r="K437" t="s">
        <v>88</v>
      </c>
      <c r="L437" t="s">
        <v>78</v>
      </c>
      <c r="M437" t="s">
        <v>79</v>
      </c>
      <c r="N437" t="s">
        <v>101</v>
      </c>
      <c r="O437">
        <v>3</v>
      </c>
      <c r="P437">
        <v>3500</v>
      </c>
      <c r="Q437">
        <v>15</v>
      </c>
      <c r="R437">
        <v>8925</v>
      </c>
      <c r="S437">
        <v>727.02</v>
      </c>
      <c r="T437" t="s">
        <v>50</v>
      </c>
      <c r="U437" t="s">
        <v>92</v>
      </c>
      <c r="V437" t="s">
        <v>52</v>
      </c>
    </row>
    <row r="438" spans="1:22" x14ac:dyDescent="0.35">
      <c r="A438" t="s">
        <v>1108</v>
      </c>
      <c r="B438" s="5">
        <v>45703</v>
      </c>
      <c r="C438" s="5" t="str">
        <f t="shared" si="13"/>
        <v>2025</v>
      </c>
      <c r="D438" s="5" t="str">
        <f t="shared" si="12"/>
        <v>February</v>
      </c>
      <c r="E438" t="s">
        <v>143</v>
      </c>
      <c r="F438" t="s">
        <v>877</v>
      </c>
      <c r="G438" t="s">
        <v>23</v>
      </c>
      <c r="H438">
        <v>46</v>
      </c>
      <c r="I438" t="s">
        <v>38</v>
      </c>
      <c r="J438" t="s">
        <v>39</v>
      </c>
      <c r="K438" t="s">
        <v>26</v>
      </c>
      <c r="L438" t="s">
        <v>47</v>
      </c>
      <c r="M438" t="s">
        <v>48</v>
      </c>
      <c r="N438" t="s">
        <v>116</v>
      </c>
      <c r="O438">
        <v>4</v>
      </c>
      <c r="P438">
        <v>120</v>
      </c>
      <c r="Q438">
        <v>15</v>
      </c>
      <c r="R438">
        <v>408</v>
      </c>
      <c r="S438">
        <v>35.28</v>
      </c>
      <c r="T438" t="s">
        <v>59</v>
      </c>
      <c r="U438" t="s">
        <v>51</v>
      </c>
      <c r="V438" t="s">
        <v>65</v>
      </c>
    </row>
    <row r="439" spans="1:22" x14ac:dyDescent="0.35">
      <c r="A439" t="s">
        <v>1110</v>
      </c>
      <c r="B439" s="5">
        <v>45617</v>
      </c>
      <c r="C439" s="5" t="str">
        <f t="shared" si="13"/>
        <v>2024</v>
      </c>
      <c r="D439" s="5" t="str">
        <f t="shared" si="12"/>
        <v>November</v>
      </c>
      <c r="E439" t="s">
        <v>1049</v>
      </c>
      <c r="F439" t="s">
        <v>186</v>
      </c>
      <c r="G439" t="s">
        <v>37</v>
      </c>
      <c r="H439">
        <v>53</v>
      </c>
      <c r="I439" t="s">
        <v>38</v>
      </c>
      <c r="J439" t="s">
        <v>39</v>
      </c>
      <c r="K439" t="s">
        <v>26</v>
      </c>
      <c r="L439" t="s">
        <v>47</v>
      </c>
      <c r="M439" t="s">
        <v>48</v>
      </c>
      <c r="N439" t="s">
        <v>116</v>
      </c>
      <c r="O439">
        <v>5</v>
      </c>
      <c r="P439">
        <v>120</v>
      </c>
      <c r="Q439">
        <v>20</v>
      </c>
      <c r="R439">
        <v>480</v>
      </c>
      <c r="S439">
        <v>86.46</v>
      </c>
      <c r="T439" t="s">
        <v>30</v>
      </c>
      <c r="U439" t="s">
        <v>92</v>
      </c>
      <c r="V439" t="s">
        <v>32</v>
      </c>
    </row>
    <row r="440" spans="1:22" x14ac:dyDescent="0.35">
      <c r="A440" t="s">
        <v>1111</v>
      </c>
      <c r="B440" s="5">
        <v>45775</v>
      </c>
      <c r="C440" s="5" t="str">
        <f t="shared" si="13"/>
        <v>2025</v>
      </c>
      <c r="D440" s="5" t="str">
        <f t="shared" si="12"/>
        <v>April</v>
      </c>
      <c r="E440" t="s">
        <v>343</v>
      </c>
      <c r="F440" t="s">
        <v>424</v>
      </c>
      <c r="G440" t="s">
        <v>37</v>
      </c>
      <c r="H440">
        <v>33</v>
      </c>
      <c r="I440" t="s">
        <v>98</v>
      </c>
      <c r="J440" t="s">
        <v>99</v>
      </c>
      <c r="K440" t="s">
        <v>100</v>
      </c>
      <c r="L440" t="s">
        <v>27</v>
      </c>
      <c r="M440" t="s">
        <v>28</v>
      </c>
      <c r="N440" t="s">
        <v>29</v>
      </c>
      <c r="O440">
        <v>4</v>
      </c>
      <c r="P440">
        <v>12000</v>
      </c>
      <c r="Q440">
        <v>5</v>
      </c>
      <c r="R440">
        <v>45600</v>
      </c>
      <c r="S440">
        <v>10475.620000000001</v>
      </c>
      <c r="T440" t="s">
        <v>30</v>
      </c>
      <c r="U440" t="s">
        <v>92</v>
      </c>
      <c r="V440" t="s">
        <v>60</v>
      </c>
    </row>
    <row r="441" spans="1:22" x14ac:dyDescent="0.35">
      <c r="A441" t="s">
        <v>1113</v>
      </c>
      <c r="B441" s="5">
        <v>45369</v>
      </c>
      <c r="C441" s="5" t="str">
        <f t="shared" si="13"/>
        <v>2024</v>
      </c>
      <c r="D441" s="5" t="str">
        <f t="shared" si="12"/>
        <v>March</v>
      </c>
      <c r="E441" t="s">
        <v>229</v>
      </c>
      <c r="F441" t="s">
        <v>295</v>
      </c>
      <c r="G441" t="s">
        <v>23</v>
      </c>
      <c r="H441">
        <v>49</v>
      </c>
      <c r="I441" t="s">
        <v>46</v>
      </c>
      <c r="J441" t="s">
        <v>25</v>
      </c>
      <c r="K441" t="s">
        <v>26</v>
      </c>
      <c r="L441" t="s">
        <v>89</v>
      </c>
      <c r="M441" t="s">
        <v>90</v>
      </c>
      <c r="N441" t="s">
        <v>91</v>
      </c>
      <c r="O441">
        <v>1</v>
      </c>
      <c r="P441">
        <v>9000</v>
      </c>
      <c r="Q441">
        <v>10</v>
      </c>
      <c r="R441">
        <v>8100</v>
      </c>
      <c r="S441">
        <v>763.34</v>
      </c>
      <c r="T441" t="s">
        <v>81</v>
      </c>
      <c r="U441" t="s">
        <v>92</v>
      </c>
      <c r="V441" t="s">
        <v>32</v>
      </c>
    </row>
    <row r="442" spans="1:22" x14ac:dyDescent="0.35">
      <c r="A442" t="s">
        <v>1114</v>
      </c>
      <c r="B442" s="5">
        <v>45709</v>
      </c>
      <c r="C442" s="5" t="str">
        <f t="shared" si="13"/>
        <v>2025</v>
      </c>
      <c r="D442" s="5" t="str">
        <f t="shared" si="12"/>
        <v>February</v>
      </c>
      <c r="E442" t="s">
        <v>252</v>
      </c>
      <c r="F442" t="s">
        <v>271</v>
      </c>
      <c r="G442" t="s">
        <v>23</v>
      </c>
      <c r="H442">
        <v>34</v>
      </c>
      <c r="I442" t="s">
        <v>98</v>
      </c>
      <c r="J442" t="s">
        <v>99</v>
      </c>
      <c r="K442" t="s">
        <v>100</v>
      </c>
      <c r="L442" t="s">
        <v>27</v>
      </c>
      <c r="M442" t="s">
        <v>28</v>
      </c>
      <c r="N442" t="s">
        <v>140</v>
      </c>
      <c r="O442">
        <v>5</v>
      </c>
      <c r="P442">
        <v>65000</v>
      </c>
      <c r="Q442">
        <v>0</v>
      </c>
      <c r="R442">
        <v>325000</v>
      </c>
      <c r="S442">
        <v>63010.66</v>
      </c>
      <c r="T442" t="s">
        <v>30</v>
      </c>
      <c r="U442" t="s">
        <v>92</v>
      </c>
      <c r="V442" t="s">
        <v>32</v>
      </c>
    </row>
    <row r="443" spans="1:22" x14ac:dyDescent="0.35">
      <c r="A443" t="s">
        <v>1116</v>
      </c>
      <c r="B443" s="5">
        <v>45534</v>
      </c>
      <c r="C443" s="5" t="str">
        <f t="shared" si="13"/>
        <v>2024</v>
      </c>
      <c r="D443" s="5" t="str">
        <f t="shared" si="12"/>
        <v>August</v>
      </c>
      <c r="E443" t="s">
        <v>494</v>
      </c>
      <c r="F443" t="s">
        <v>241</v>
      </c>
      <c r="G443" t="s">
        <v>23</v>
      </c>
      <c r="H443">
        <v>56</v>
      </c>
      <c r="I443" t="s">
        <v>86</v>
      </c>
      <c r="J443" t="s">
        <v>87</v>
      </c>
      <c r="K443" t="s">
        <v>88</v>
      </c>
      <c r="L443" t="s">
        <v>89</v>
      </c>
      <c r="M443" t="s">
        <v>90</v>
      </c>
      <c r="N443" t="s">
        <v>91</v>
      </c>
      <c r="O443">
        <v>5</v>
      </c>
      <c r="P443">
        <v>9000</v>
      </c>
      <c r="Q443">
        <v>15</v>
      </c>
      <c r="R443">
        <v>38250</v>
      </c>
      <c r="S443">
        <v>6761.9</v>
      </c>
      <c r="T443" t="s">
        <v>41</v>
      </c>
      <c r="U443" t="s">
        <v>51</v>
      </c>
      <c r="V443" t="s">
        <v>60</v>
      </c>
    </row>
    <row r="444" spans="1:22" x14ac:dyDescent="0.35">
      <c r="A444" t="s">
        <v>1118</v>
      </c>
      <c r="B444" s="5">
        <v>45356</v>
      </c>
      <c r="C444" s="5" t="str">
        <f t="shared" si="13"/>
        <v>2024</v>
      </c>
      <c r="D444" s="5" t="str">
        <f t="shared" si="12"/>
        <v>March</v>
      </c>
      <c r="E444" t="s">
        <v>958</v>
      </c>
      <c r="F444" t="s">
        <v>205</v>
      </c>
      <c r="G444" t="s">
        <v>23</v>
      </c>
      <c r="H444">
        <v>55</v>
      </c>
      <c r="I444" t="s">
        <v>46</v>
      </c>
      <c r="J444" t="s">
        <v>25</v>
      </c>
      <c r="K444" t="s">
        <v>26</v>
      </c>
      <c r="L444" t="s">
        <v>47</v>
      </c>
      <c r="M444" t="s">
        <v>48</v>
      </c>
      <c r="N444" t="s">
        <v>215</v>
      </c>
      <c r="O444">
        <v>1</v>
      </c>
      <c r="P444">
        <v>450</v>
      </c>
      <c r="Q444">
        <v>15</v>
      </c>
      <c r="R444">
        <v>382.5</v>
      </c>
      <c r="S444">
        <v>99.43</v>
      </c>
      <c r="T444" t="s">
        <v>41</v>
      </c>
      <c r="U444" t="s">
        <v>51</v>
      </c>
      <c r="V444" t="s">
        <v>93</v>
      </c>
    </row>
    <row r="445" spans="1:22" x14ac:dyDescent="0.35">
      <c r="A445" t="s">
        <v>1119</v>
      </c>
      <c r="B445" s="5">
        <v>45731</v>
      </c>
      <c r="C445" s="5" t="str">
        <f t="shared" si="13"/>
        <v>2025</v>
      </c>
      <c r="D445" s="5" t="str">
        <f t="shared" si="12"/>
        <v>March</v>
      </c>
      <c r="E445" t="s">
        <v>958</v>
      </c>
      <c r="F445" t="s">
        <v>109</v>
      </c>
      <c r="G445" t="s">
        <v>37</v>
      </c>
      <c r="H445">
        <v>51</v>
      </c>
      <c r="I445" t="s">
        <v>57</v>
      </c>
      <c r="J445" t="s">
        <v>57</v>
      </c>
      <c r="K445" t="s">
        <v>58</v>
      </c>
      <c r="L445" t="s">
        <v>78</v>
      </c>
      <c r="M445" t="s">
        <v>79</v>
      </c>
      <c r="N445" t="s">
        <v>80</v>
      </c>
      <c r="O445">
        <v>1</v>
      </c>
      <c r="P445">
        <v>1800</v>
      </c>
      <c r="Q445">
        <v>15</v>
      </c>
      <c r="R445">
        <v>1530</v>
      </c>
      <c r="S445">
        <v>172.44</v>
      </c>
      <c r="T445" t="s">
        <v>81</v>
      </c>
      <c r="U445" t="s">
        <v>31</v>
      </c>
      <c r="V445" t="s">
        <v>65</v>
      </c>
    </row>
    <row r="446" spans="1:22" x14ac:dyDescent="0.35">
      <c r="A446" t="s">
        <v>1120</v>
      </c>
      <c r="B446" s="5">
        <v>45325</v>
      </c>
      <c r="C446" s="5" t="str">
        <f t="shared" si="13"/>
        <v>2024</v>
      </c>
      <c r="D446" s="5" t="str">
        <f t="shared" si="12"/>
        <v>February</v>
      </c>
      <c r="E446" t="s">
        <v>517</v>
      </c>
      <c r="F446" t="s">
        <v>437</v>
      </c>
      <c r="G446" t="s">
        <v>37</v>
      </c>
      <c r="H446">
        <v>50</v>
      </c>
      <c r="I446" t="s">
        <v>98</v>
      </c>
      <c r="J446" t="s">
        <v>99</v>
      </c>
      <c r="K446" t="s">
        <v>100</v>
      </c>
      <c r="L446" t="s">
        <v>89</v>
      </c>
      <c r="M446" t="s">
        <v>90</v>
      </c>
      <c r="N446" t="s">
        <v>242</v>
      </c>
      <c r="O446">
        <v>1</v>
      </c>
      <c r="P446">
        <v>6000</v>
      </c>
      <c r="Q446">
        <v>0</v>
      </c>
      <c r="R446">
        <v>6000</v>
      </c>
      <c r="S446">
        <v>1334.37</v>
      </c>
      <c r="T446" t="s">
        <v>30</v>
      </c>
      <c r="U446" t="s">
        <v>31</v>
      </c>
      <c r="V446" t="s">
        <v>60</v>
      </c>
    </row>
    <row r="447" spans="1:22" x14ac:dyDescent="0.35">
      <c r="A447" t="s">
        <v>1121</v>
      </c>
      <c r="B447" s="5">
        <v>45685</v>
      </c>
      <c r="C447" s="5" t="str">
        <f t="shared" si="13"/>
        <v>2025</v>
      </c>
      <c r="D447" s="5" t="str">
        <f t="shared" si="12"/>
        <v>January</v>
      </c>
      <c r="E447" t="s">
        <v>214</v>
      </c>
      <c r="F447" t="s">
        <v>801</v>
      </c>
      <c r="G447" t="s">
        <v>23</v>
      </c>
      <c r="H447">
        <v>57</v>
      </c>
      <c r="I447" t="s">
        <v>86</v>
      </c>
      <c r="J447" t="s">
        <v>87</v>
      </c>
      <c r="K447" t="s">
        <v>88</v>
      </c>
      <c r="L447" t="s">
        <v>27</v>
      </c>
      <c r="M447" t="s">
        <v>28</v>
      </c>
      <c r="N447" t="s">
        <v>73</v>
      </c>
      <c r="O447">
        <v>4</v>
      </c>
      <c r="P447">
        <v>25000</v>
      </c>
      <c r="Q447">
        <v>10</v>
      </c>
      <c r="R447">
        <v>90000</v>
      </c>
      <c r="S447">
        <v>16616.53</v>
      </c>
      <c r="T447" t="s">
        <v>30</v>
      </c>
      <c r="U447" t="s">
        <v>51</v>
      </c>
      <c r="V447" t="s">
        <v>52</v>
      </c>
    </row>
    <row r="448" spans="1:22" x14ac:dyDescent="0.35">
      <c r="A448" t="s">
        <v>1122</v>
      </c>
      <c r="B448" s="5">
        <v>45338</v>
      </c>
      <c r="C448" s="5" t="str">
        <f t="shared" si="13"/>
        <v>2024</v>
      </c>
      <c r="D448" s="5" t="str">
        <f t="shared" si="12"/>
        <v>February</v>
      </c>
      <c r="E448" t="s">
        <v>270</v>
      </c>
      <c r="F448" t="s">
        <v>267</v>
      </c>
      <c r="G448" t="s">
        <v>23</v>
      </c>
      <c r="H448">
        <v>40</v>
      </c>
      <c r="I448" t="s">
        <v>24</v>
      </c>
      <c r="J448" t="s">
        <v>25</v>
      </c>
      <c r="K448" t="s">
        <v>26</v>
      </c>
      <c r="L448" t="s">
        <v>27</v>
      </c>
      <c r="M448" t="s">
        <v>28</v>
      </c>
      <c r="N448" t="s">
        <v>29</v>
      </c>
      <c r="O448">
        <v>2</v>
      </c>
      <c r="P448">
        <v>12000</v>
      </c>
      <c r="Q448">
        <v>0</v>
      </c>
      <c r="R448">
        <v>24000</v>
      </c>
      <c r="S448">
        <v>5880.3</v>
      </c>
      <c r="T448" t="s">
        <v>50</v>
      </c>
      <c r="U448" t="s">
        <v>51</v>
      </c>
      <c r="V448" t="s">
        <v>60</v>
      </c>
    </row>
    <row r="449" spans="1:22" x14ac:dyDescent="0.35">
      <c r="A449" t="s">
        <v>1123</v>
      </c>
      <c r="B449" s="5">
        <v>45711</v>
      </c>
      <c r="C449" s="5" t="str">
        <f t="shared" si="13"/>
        <v>2025</v>
      </c>
      <c r="D449" s="5" t="str">
        <f t="shared" si="12"/>
        <v>February</v>
      </c>
      <c r="E449" t="s">
        <v>320</v>
      </c>
      <c r="F449" t="s">
        <v>358</v>
      </c>
      <c r="G449" t="s">
        <v>23</v>
      </c>
      <c r="H449">
        <v>57</v>
      </c>
      <c r="I449" t="s">
        <v>24</v>
      </c>
      <c r="J449" t="s">
        <v>25</v>
      </c>
      <c r="K449" t="s">
        <v>26</v>
      </c>
      <c r="L449" t="s">
        <v>27</v>
      </c>
      <c r="M449" t="s">
        <v>28</v>
      </c>
      <c r="N449" t="s">
        <v>29</v>
      </c>
      <c r="O449">
        <v>2</v>
      </c>
      <c r="P449">
        <v>12000</v>
      </c>
      <c r="Q449">
        <v>10</v>
      </c>
      <c r="R449">
        <v>21600</v>
      </c>
      <c r="S449">
        <v>3069.76</v>
      </c>
      <c r="T449" t="s">
        <v>30</v>
      </c>
      <c r="U449" t="s">
        <v>51</v>
      </c>
      <c r="V449" t="s">
        <v>32</v>
      </c>
    </row>
    <row r="450" spans="1:22" x14ac:dyDescent="0.35">
      <c r="A450" t="s">
        <v>1125</v>
      </c>
      <c r="B450" s="5">
        <v>45581</v>
      </c>
      <c r="C450" s="5" t="str">
        <f t="shared" si="13"/>
        <v>2024</v>
      </c>
      <c r="D450" s="5" t="str">
        <f t="shared" ref="D450:D501" si="14">TEXT(B450,"mmmm")</f>
        <v>October</v>
      </c>
      <c r="E450" t="s">
        <v>35</v>
      </c>
      <c r="F450" t="s">
        <v>468</v>
      </c>
      <c r="G450" t="s">
        <v>23</v>
      </c>
      <c r="H450">
        <v>30</v>
      </c>
      <c r="I450" t="s">
        <v>98</v>
      </c>
      <c r="J450" t="s">
        <v>99</v>
      </c>
      <c r="K450" t="s">
        <v>100</v>
      </c>
      <c r="L450" t="s">
        <v>78</v>
      </c>
      <c r="M450" t="s">
        <v>79</v>
      </c>
      <c r="N450" t="s">
        <v>80</v>
      </c>
      <c r="O450">
        <v>5</v>
      </c>
      <c r="P450">
        <v>1800</v>
      </c>
      <c r="Q450">
        <v>10</v>
      </c>
      <c r="R450">
        <v>8100</v>
      </c>
      <c r="S450">
        <v>1917.07</v>
      </c>
      <c r="T450" t="s">
        <v>59</v>
      </c>
      <c r="U450" t="s">
        <v>51</v>
      </c>
      <c r="V450" t="s">
        <v>52</v>
      </c>
    </row>
    <row r="451" spans="1:22" x14ac:dyDescent="0.35">
      <c r="A451" t="s">
        <v>1127</v>
      </c>
      <c r="B451" s="5">
        <v>45407</v>
      </c>
      <c r="C451" s="5" t="str">
        <f t="shared" ref="C451:C501" si="15">TEXT(B451,"YYYY")</f>
        <v>2024</v>
      </c>
      <c r="D451" s="5" t="str">
        <f t="shared" si="14"/>
        <v>April</v>
      </c>
      <c r="E451" t="s">
        <v>68</v>
      </c>
      <c r="F451" t="s">
        <v>647</v>
      </c>
      <c r="G451" t="s">
        <v>37</v>
      </c>
      <c r="H451">
        <v>41</v>
      </c>
      <c r="I451" t="s">
        <v>57</v>
      </c>
      <c r="J451" t="s">
        <v>57</v>
      </c>
      <c r="K451" t="s">
        <v>58</v>
      </c>
      <c r="L451" t="s">
        <v>47</v>
      </c>
      <c r="M451" t="s">
        <v>48</v>
      </c>
      <c r="N451" t="s">
        <v>116</v>
      </c>
      <c r="O451">
        <v>5</v>
      </c>
      <c r="P451">
        <v>120</v>
      </c>
      <c r="Q451">
        <v>10</v>
      </c>
      <c r="R451">
        <v>540</v>
      </c>
      <c r="S451">
        <v>103.48</v>
      </c>
      <c r="T451" t="s">
        <v>41</v>
      </c>
      <c r="U451" t="s">
        <v>51</v>
      </c>
      <c r="V451" t="s">
        <v>93</v>
      </c>
    </row>
    <row r="452" spans="1:22" x14ac:dyDescent="0.35">
      <c r="A452" t="s">
        <v>1128</v>
      </c>
      <c r="B452" s="5">
        <v>45825</v>
      </c>
      <c r="C452" s="5" t="str">
        <f t="shared" si="15"/>
        <v>2025</v>
      </c>
      <c r="D452" s="5" t="str">
        <f t="shared" si="14"/>
        <v>June</v>
      </c>
      <c r="E452" t="s">
        <v>554</v>
      </c>
      <c r="F452" t="s">
        <v>465</v>
      </c>
      <c r="G452" t="s">
        <v>23</v>
      </c>
      <c r="H452">
        <v>31</v>
      </c>
      <c r="I452" t="s">
        <v>86</v>
      </c>
      <c r="J452" t="s">
        <v>87</v>
      </c>
      <c r="K452" t="s">
        <v>88</v>
      </c>
      <c r="L452" t="s">
        <v>89</v>
      </c>
      <c r="M452" t="s">
        <v>90</v>
      </c>
      <c r="N452" t="s">
        <v>242</v>
      </c>
      <c r="O452">
        <v>2</v>
      </c>
      <c r="P452">
        <v>6000</v>
      </c>
      <c r="Q452">
        <v>20</v>
      </c>
      <c r="R452">
        <v>9600</v>
      </c>
      <c r="S452">
        <v>2070.64</v>
      </c>
      <c r="T452" t="s">
        <v>81</v>
      </c>
      <c r="U452" t="s">
        <v>51</v>
      </c>
      <c r="V452" t="s">
        <v>117</v>
      </c>
    </row>
    <row r="453" spans="1:22" x14ac:dyDescent="0.35">
      <c r="A453" t="s">
        <v>1130</v>
      </c>
      <c r="B453" s="5">
        <v>45572</v>
      </c>
      <c r="C453" s="5" t="str">
        <f t="shared" si="15"/>
        <v>2024</v>
      </c>
      <c r="D453" s="5" t="str">
        <f t="shared" si="14"/>
        <v>October</v>
      </c>
      <c r="E453" t="s">
        <v>494</v>
      </c>
      <c r="F453" t="s">
        <v>97</v>
      </c>
      <c r="G453" t="s">
        <v>23</v>
      </c>
      <c r="H453">
        <v>39</v>
      </c>
      <c r="I453" t="s">
        <v>86</v>
      </c>
      <c r="J453" t="s">
        <v>87</v>
      </c>
      <c r="K453" t="s">
        <v>88</v>
      </c>
      <c r="L453" t="s">
        <v>27</v>
      </c>
      <c r="M453" t="s">
        <v>28</v>
      </c>
      <c r="N453" t="s">
        <v>40</v>
      </c>
      <c r="O453">
        <v>5</v>
      </c>
      <c r="P453">
        <v>2500</v>
      </c>
      <c r="Q453">
        <v>10</v>
      </c>
      <c r="R453">
        <v>11250</v>
      </c>
      <c r="S453">
        <v>1666.43</v>
      </c>
      <c r="T453" t="s">
        <v>50</v>
      </c>
      <c r="U453" t="s">
        <v>51</v>
      </c>
      <c r="V453" t="s">
        <v>32</v>
      </c>
    </row>
    <row r="454" spans="1:22" x14ac:dyDescent="0.35">
      <c r="A454" t="s">
        <v>1131</v>
      </c>
      <c r="B454" s="5">
        <v>45764</v>
      </c>
      <c r="C454" s="5" t="str">
        <f t="shared" si="15"/>
        <v>2025</v>
      </c>
      <c r="D454" s="5" t="str">
        <f t="shared" si="14"/>
        <v>April</v>
      </c>
      <c r="E454" t="s">
        <v>689</v>
      </c>
      <c r="F454" t="s">
        <v>457</v>
      </c>
      <c r="G454" t="s">
        <v>23</v>
      </c>
      <c r="H454">
        <v>35</v>
      </c>
      <c r="I454" t="s">
        <v>114</v>
      </c>
      <c r="J454" t="s">
        <v>115</v>
      </c>
      <c r="K454" t="s">
        <v>88</v>
      </c>
      <c r="L454" t="s">
        <v>78</v>
      </c>
      <c r="M454" t="s">
        <v>79</v>
      </c>
      <c r="N454" t="s">
        <v>156</v>
      </c>
      <c r="O454">
        <v>4</v>
      </c>
      <c r="P454">
        <v>800</v>
      </c>
      <c r="Q454">
        <v>20</v>
      </c>
      <c r="R454">
        <v>2560</v>
      </c>
      <c r="S454">
        <v>328.33</v>
      </c>
      <c r="T454" t="s">
        <v>81</v>
      </c>
      <c r="U454" t="s">
        <v>31</v>
      </c>
      <c r="V454" t="s">
        <v>117</v>
      </c>
    </row>
    <row r="455" spans="1:22" x14ac:dyDescent="0.35">
      <c r="A455" t="s">
        <v>1133</v>
      </c>
      <c r="B455" s="5">
        <v>45559</v>
      </c>
      <c r="C455" s="5" t="str">
        <f t="shared" si="15"/>
        <v>2024</v>
      </c>
      <c r="D455" s="5" t="str">
        <f t="shared" si="14"/>
        <v>September</v>
      </c>
      <c r="E455" t="s">
        <v>704</v>
      </c>
      <c r="F455" t="s">
        <v>168</v>
      </c>
      <c r="G455" t="s">
        <v>23</v>
      </c>
      <c r="H455">
        <v>21</v>
      </c>
      <c r="I455" t="s">
        <v>46</v>
      </c>
      <c r="J455" t="s">
        <v>25</v>
      </c>
      <c r="K455" t="s">
        <v>26</v>
      </c>
      <c r="L455" t="s">
        <v>47</v>
      </c>
      <c r="M455" t="s">
        <v>48</v>
      </c>
      <c r="N455" t="s">
        <v>49</v>
      </c>
      <c r="O455">
        <v>5</v>
      </c>
      <c r="P455">
        <v>150</v>
      </c>
      <c r="Q455">
        <v>0</v>
      </c>
      <c r="R455">
        <v>750</v>
      </c>
      <c r="S455">
        <v>185.78</v>
      </c>
      <c r="T455" t="s">
        <v>50</v>
      </c>
      <c r="U455" t="s">
        <v>31</v>
      </c>
      <c r="V455" t="s">
        <v>32</v>
      </c>
    </row>
    <row r="456" spans="1:22" x14ac:dyDescent="0.35">
      <c r="A456" t="s">
        <v>1135</v>
      </c>
      <c r="B456" s="5">
        <v>45436</v>
      </c>
      <c r="C456" s="5" t="str">
        <f t="shared" si="15"/>
        <v>2024</v>
      </c>
      <c r="D456" s="5" t="str">
        <f t="shared" si="14"/>
        <v>May</v>
      </c>
      <c r="E456" t="s">
        <v>274</v>
      </c>
      <c r="F456" t="s">
        <v>271</v>
      </c>
      <c r="G456" t="s">
        <v>23</v>
      </c>
      <c r="H456">
        <v>60</v>
      </c>
      <c r="I456" t="s">
        <v>114</v>
      </c>
      <c r="J456" t="s">
        <v>115</v>
      </c>
      <c r="K456" t="s">
        <v>88</v>
      </c>
      <c r="L456" t="s">
        <v>47</v>
      </c>
      <c r="M456" t="s">
        <v>48</v>
      </c>
      <c r="N456" t="s">
        <v>49</v>
      </c>
      <c r="O456">
        <v>3</v>
      </c>
      <c r="P456">
        <v>150</v>
      </c>
      <c r="Q456">
        <v>15</v>
      </c>
      <c r="R456">
        <v>382.5</v>
      </c>
      <c r="S456">
        <v>39.79</v>
      </c>
      <c r="T456" t="s">
        <v>81</v>
      </c>
      <c r="U456" t="s">
        <v>51</v>
      </c>
      <c r="V456" t="s">
        <v>93</v>
      </c>
    </row>
    <row r="457" spans="1:22" x14ac:dyDescent="0.35">
      <c r="A457" t="s">
        <v>1137</v>
      </c>
      <c r="B457" s="5">
        <v>45720</v>
      </c>
      <c r="C457" s="5" t="str">
        <f t="shared" si="15"/>
        <v>2025</v>
      </c>
      <c r="D457" s="5" t="str">
        <f t="shared" si="14"/>
        <v>March</v>
      </c>
      <c r="E457" t="s">
        <v>225</v>
      </c>
      <c r="F457" t="s">
        <v>410</v>
      </c>
      <c r="G457" t="s">
        <v>37</v>
      </c>
      <c r="H457">
        <v>47</v>
      </c>
      <c r="I457" t="s">
        <v>86</v>
      </c>
      <c r="J457" t="s">
        <v>87</v>
      </c>
      <c r="K457" t="s">
        <v>88</v>
      </c>
      <c r="L457" t="s">
        <v>89</v>
      </c>
      <c r="M457" t="s">
        <v>90</v>
      </c>
      <c r="N457" t="s">
        <v>128</v>
      </c>
      <c r="O457">
        <v>3</v>
      </c>
      <c r="P457">
        <v>7000</v>
      </c>
      <c r="Q457">
        <v>15</v>
      </c>
      <c r="R457">
        <v>17850</v>
      </c>
      <c r="S457">
        <v>2040.2</v>
      </c>
      <c r="T457" t="s">
        <v>30</v>
      </c>
      <c r="U457" t="s">
        <v>51</v>
      </c>
      <c r="V457" t="s">
        <v>93</v>
      </c>
    </row>
    <row r="458" spans="1:22" x14ac:dyDescent="0.35">
      <c r="A458" t="s">
        <v>1138</v>
      </c>
      <c r="B458" s="5">
        <v>45333</v>
      </c>
      <c r="C458" s="5" t="str">
        <f t="shared" si="15"/>
        <v>2024</v>
      </c>
      <c r="D458" s="5" t="str">
        <f t="shared" si="14"/>
        <v>February</v>
      </c>
      <c r="E458" t="s">
        <v>471</v>
      </c>
      <c r="F458" t="s">
        <v>151</v>
      </c>
      <c r="G458" t="s">
        <v>23</v>
      </c>
      <c r="H458">
        <v>55</v>
      </c>
      <c r="I458" t="s">
        <v>98</v>
      </c>
      <c r="J458" t="s">
        <v>99</v>
      </c>
      <c r="K458" t="s">
        <v>100</v>
      </c>
      <c r="L458" t="s">
        <v>47</v>
      </c>
      <c r="M458" t="s">
        <v>48</v>
      </c>
      <c r="N458" t="s">
        <v>49</v>
      </c>
      <c r="O458">
        <v>4</v>
      </c>
      <c r="P458">
        <v>150</v>
      </c>
      <c r="Q458">
        <v>10</v>
      </c>
      <c r="R458">
        <v>540</v>
      </c>
      <c r="S458">
        <v>149.91</v>
      </c>
      <c r="T458" t="s">
        <v>30</v>
      </c>
      <c r="U458" t="s">
        <v>51</v>
      </c>
      <c r="V458" t="s">
        <v>60</v>
      </c>
    </row>
    <row r="459" spans="1:22" x14ac:dyDescent="0.35">
      <c r="A459" t="s">
        <v>1139</v>
      </c>
      <c r="B459" s="5">
        <v>45548</v>
      </c>
      <c r="C459" s="5" t="str">
        <f t="shared" si="15"/>
        <v>2024</v>
      </c>
      <c r="D459" s="5" t="str">
        <f t="shared" si="14"/>
        <v>September</v>
      </c>
      <c r="E459" t="s">
        <v>252</v>
      </c>
      <c r="F459" t="s">
        <v>421</v>
      </c>
      <c r="G459" t="s">
        <v>23</v>
      </c>
      <c r="H459">
        <v>36</v>
      </c>
      <c r="I459" t="s">
        <v>98</v>
      </c>
      <c r="J459" t="s">
        <v>99</v>
      </c>
      <c r="K459" t="s">
        <v>100</v>
      </c>
      <c r="L459" t="s">
        <v>47</v>
      </c>
      <c r="M459" t="s">
        <v>48</v>
      </c>
      <c r="N459" t="s">
        <v>49</v>
      </c>
      <c r="O459">
        <v>4</v>
      </c>
      <c r="P459">
        <v>150</v>
      </c>
      <c r="Q459">
        <v>10</v>
      </c>
      <c r="R459">
        <v>540</v>
      </c>
      <c r="S459">
        <v>150.05000000000001</v>
      </c>
      <c r="T459" t="s">
        <v>30</v>
      </c>
      <c r="U459" t="s">
        <v>31</v>
      </c>
      <c r="V459" t="s">
        <v>93</v>
      </c>
    </row>
    <row r="460" spans="1:22" x14ac:dyDescent="0.35">
      <c r="A460" t="s">
        <v>1141</v>
      </c>
      <c r="B460" s="5">
        <v>45534</v>
      </c>
      <c r="C460" s="5" t="str">
        <f t="shared" si="15"/>
        <v>2024</v>
      </c>
      <c r="D460" s="5" t="str">
        <f t="shared" si="14"/>
        <v>August</v>
      </c>
      <c r="E460" t="s">
        <v>812</v>
      </c>
      <c r="F460" t="s">
        <v>663</v>
      </c>
      <c r="G460" t="s">
        <v>37</v>
      </c>
      <c r="H460">
        <v>37</v>
      </c>
      <c r="I460" t="s">
        <v>98</v>
      </c>
      <c r="J460" t="s">
        <v>99</v>
      </c>
      <c r="K460" t="s">
        <v>100</v>
      </c>
      <c r="L460" t="s">
        <v>27</v>
      </c>
      <c r="M460" t="s">
        <v>28</v>
      </c>
      <c r="N460" t="s">
        <v>29</v>
      </c>
      <c r="O460">
        <v>4</v>
      </c>
      <c r="P460">
        <v>12000</v>
      </c>
      <c r="Q460">
        <v>5</v>
      </c>
      <c r="R460">
        <v>45600</v>
      </c>
      <c r="S460">
        <v>4276.6499999999996</v>
      </c>
      <c r="T460" t="s">
        <v>50</v>
      </c>
      <c r="U460" t="s">
        <v>31</v>
      </c>
      <c r="V460" t="s">
        <v>60</v>
      </c>
    </row>
    <row r="461" spans="1:22" x14ac:dyDescent="0.35">
      <c r="A461" t="s">
        <v>1142</v>
      </c>
      <c r="B461" s="5">
        <v>45359</v>
      </c>
      <c r="C461" s="5" t="str">
        <f t="shared" si="15"/>
        <v>2024</v>
      </c>
      <c r="D461" s="5" t="str">
        <f t="shared" si="14"/>
        <v>March</v>
      </c>
      <c r="E461" t="s">
        <v>758</v>
      </c>
      <c r="F461" t="s">
        <v>982</v>
      </c>
      <c r="G461" t="s">
        <v>37</v>
      </c>
      <c r="H461">
        <v>45</v>
      </c>
      <c r="I461" t="s">
        <v>86</v>
      </c>
      <c r="J461" t="s">
        <v>87</v>
      </c>
      <c r="K461" t="s">
        <v>88</v>
      </c>
      <c r="L461" t="s">
        <v>78</v>
      </c>
      <c r="M461" t="s">
        <v>79</v>
      </c>
      <c r="N461" t="s">
        <v>156</v>
      </c>
      <c r="O461">
        <v>3</v>
      </c>
      <c r="P461">
        <v>800</v>
      </c>
      <c r="Q461">
        <v>10</v>
      </c>
      <c r="R461">
        <v>2160</v>
      </c>
      <c r="S461">
        <v>549.75</v>
      </c>
      <c r="T461" t="s">
        <v>30</v>
      </c>
      <c r="U461" t="s">
        <v>51</v>
      </c>
      <c r="V461" t="s">
        <v>93</v>
      </c>
    </row>
    <row r="462" spans="1:22" x14ac:dyDescent="0.35">
      <c r="A462" t="s">
        <v>1143</v>
      </c>
      <c r="B462" s="5">
        <v>45678</v>
      </c>
      <c r="C462" s="5" t="str">
        <f t="shared" si="15"/>
        <v>2025</v>
      </c>
      <c r="D462" s="5" t="str">
        <f t="shared" si="14"/>
        <v>January</v>
      </c>
      <c r="E462" t="s">
        <v>812</v>
      </c>
      <c r="F462" t="s">
        <v>246</v>
      </c>
      <c r="G462" t="s">
        <v>23</v>
      </c>
      <c r="H462">
        <v>53</v>
      </c>
      <c r="I462" t="s">
        <v>126</v>
      </c>
      <c r="J462" t="s">
        <v>127</v>
      </c>
      <c r="K462" t="s">
        <v>88</v>
      </c>
      <c r="L462" t="s">
        <v>27</v>
      </c>
      <c r="M462" t="s">
        <v>28</v>
      </c>
      <c r="N462" t="s">
        <v>73</v>
      </c>
      <c r="O462">
        <v>5</v>
      </c>
      <c r="P462">
        <v>25000</v>
      </c>
      <c r="Q462">
        <v>20</v>
      </c>
      <c r="R462">
        <v>100000</v>
      </c>
      <c r="S462">
        <v>10124.51</v>
      </c>
      <c r="T462" t="s">
        <v>41</v>
      </c>
      <c r="U462" t="s">
        <v>31</v>
      </c>
      <c r="V462" t="s">
        <v>60</v>
      </c>
    </row>
    <row r="463" spans="1:22" x14ac:dyDescent="0.35">
      <c r="A463" t="s">
        <v>1145</v>
      </c>
      <c r="B463" s="5">
        <v>45650</v>
      </c>
      <c r="C463" s="5" t="str">
        <f t="shared" si="15"/>
        <v>2024</v>
      </c>
      <c r="D463" s="5" t="str">
        <f t="shared" si="14"/>
        <v>December</v>
      </c>
      <c r="E463" t="s">
        <v>494</v>
      </c>
      <c r="F463" t="s">
        <v>566</v>
      </c>
      <c r="G463" t="s">
        <v>23</v>
      </c>
      <c r="H463">
        <v>22</v>
      </c>
      <c r="I463" t="s">
        <v>126</v>
      </c>
      <c r="J463" t="s">
        <v>127</v>
      </c>
      <c r="K463" t="s">
        <v>88</v>
      </c>
      <c r="L463" t="s">
        <v>47</v>
      </c>
      <c r="M463" t="s">
        <v>48</v>
      </c>
      <c r="N463" t="s">
        <v>116</v>
      </c>
      <c r="O463">
        <v>2</v>
      </c>
      <c r="P463">
        <v>120</v>
      </c>
      <c r="Q463">
        <v>5</v>
      </c>
      <c r="R463">
        <v>228</v>
      </c>
      <c r="S463">
        <v>61.43</v>
      </c>
      <c r="T463" t="s">
        <v>50</v>
      </c>
      <c r="U463" t="s">
        <v>51</v>
      </c>
      <c r="V463" t="s">
        <v>93</v>
      </c>
    </row>
    <row r="464" spans="1:22" x14ac:dyDescent="0.35">
      <c r="A464" t="s">
        <v>1147</v>
      </c>
      <c r="B464" s="5">
        <v>45709</v>
      </c>
      <c r="C464" s="5" t="str">
        <f t="shared" si="15"/>
        <v>2025</v>
      </c>
      <c r="D464" s="5" t="str">
        <f t="shared" si="14"/>
        <v>February</v>
      </c>
      <c r="E464" t="s">
        <v>436</v>
      </c>
      <c r="F464" t="s">
        <v>685</v>
      </c>
      <c r="G464" t="s">
        <v>23</v>
      </c>
      <c r="H464">
        <v>41</v>
      </c>
      <c r="I464" t="s">
        <v>98</v>
      </c>
      <c r="J464" t="s">
        <v>99</v>
      </c>
      <c r="K464" t="s">
        <v>100</v>
      </c>
      <c r="L464" t="s">
        <v>27</v>
      </c>
      <c r="M464" t="s">
        <v>28</v>
      </c>
      <c r="N464" t="s">
        <v>140</v>
      </c>
      <c r="O464">
        <v>3</v>
      </c>
      <c r="P464">
        <v>65000</v>
      </c>
      <c r="Q464">
        <v>10</v>
      </c>
      <c r="R464">
        <v>175500</v>
      </c>
      <c r="S464">
        <v>40581.56</v>
      </c>
      <c r="T464" t="s">
        <v>50</v>
      </c>
      <c r="U464" t="s">
        <v>31</v>
      </c>
      <c r="V464" t="s">
        <v>93</v>
      </c>
    </row>
    <row r="465" spans="1:22" x14ac:dyDescent="0.35">
      <c r="A465" t="s">
        <v>1148</v>
      </c>
      <c r="B465" s="5">
        <v>45685</v>
      </c>
      <c r="C465" s="5" t="str">
        <f t="shared" si="15"/>
        <v>2025</v>
      </c>
      <c r="D465" s="5" t="str">
        <f t="shared" si="14"/>
        <v>January</v>
      </c>
      <c r="E465" t="s">
        <v>646</v>
      </c>
      <c r="F465" t="s">
        <v>1062</v>
      </c>
      <c r="G465" t="s">
        <v>37</v>
      </c>
      <c r="H465">
        <v>36</v>
      </c>
      <c r="I465" t="s">
        <v>98</v>
      </c>
      <c r="J465" t="s">
        <v>99</v>
      </c>
      <c r="K465" t="s">
        <v>100</v>
      </c>
      <c r="L465" t="s">
        <v>47</v>
      </c>
      <c r="M465" t="s">
        <v>48</v>
      </c>
      <c r="N465" t="s">
        <v>49</v>
      </c>
      <c r="O465">
        <v>2</v>
      </c>
      <c r="P465">
        <v>150</v>
      </c>
      <c r="Q465">
        <v>15</v>
      </c>
      <c r="R465">
        <v>255</v>
      </c>
      <c r="S465">
        <v>30.81</v>
      </c>
      <c r="T465" t="s">
        <v>81</v>
      </c>
      <c r="U465" t="s">
        <v>31</v>
      </c>
      <c r="V465" t="s">
        <v>60</v>
      </c>
    </row>
    <row r="466" spans="1:22" x14ac:dyDescent="0.35">
      <c r="A466" t="s">
        <v>1149</v>
      </c>
      <c r="B466" s="5">
        <v>45611</v>
      </c>
      <c r="C466" s="5" t="str">
        <f t="shared" si="15"/>
        <v>2024</v>
      </c>
      <c r="D466" s="5" t="str">
        <f t="shared" si="14"/>
        <v>November</v>
      </c>
      <c r="E466" t="s">
        <v>653</v>
      </c>
      <c r="F466" t="s">
        <v>85</v>
      </c>
      <c r="G466" t="s">
        <v>37</v>
      </c>
      <c r="H466">
        <v>25</v>
      </c>
      <c r="I466" t="s">
        <v>38</v>
      </c>
      <c r="J466" t="s">
        <v>39</v>
      </c>
      <c r="K466" t="s">
        <v>26</v>
      </c>
      <c r="L466" t="s">
        <v>78</v>
      </c>
      <c r="M466" t="s">
        <v>79</v>
      </c>
      <c r="N466" t="s">
        <v>156</v>
      </c>
      <c r="O466">
        <v>3</v>
      </c>
      <c r="P466">
        <v>800</v>
      </c>
      <c r="Q466">
        <v>0</v>
      </c>
      <c r="R466">
        <v>2400</v>
      </c>
      <c r="S466">
        <v>356.73</v>
      </c>
      <c r="T466" t="s">
        <v>59</v>
      </c>
      <c r="U466" t="s">
        <v>92</v>
      </c>
      <c r="V466" t="s">
        <v>93</v>
      </c>
    </row>
    <row r="467" spans="1:22" x14ac:dyDescent="0.35">
      <c r="A467" t="s">
        <v>1151</v>
      </c>
      <c r="B467" s="5">
        <v>45590</v>
      </c>
      <c r="C467" s="5" t="str">
        <f t="shared" si="15"/>
        <v>2024</v>
      </c>
      <c r="D467" s="5" t="str">
        <f t="shared" si="14"/>
        <v>October</v>
      </c>
      <c r="E467" t="s">
        <v>736</v>
      </c>
      <c r="F467" t="s">
        <v>302</v>
      </c>
      <c r="G467" t="s">
        <v>37</v>
      </c>
      <c r="H467">
        <v>40</v>
      </c>
      <c r="I467" t="s">
        <v>57</v>
      </c>
      <c r="J467" t="s">
        <v>57</v>
      </c>
      <c r="K467" t="s">
        <v>58</v>
      </c>
      <c r="L467" t="s">
        <v>27</v>
      </c>
      <c r="M467" t="s">
        <v>28</v>
      </c>
      <c r="N467" t="s">
        <v>29</v>
      </c>
      <c r="O467">
        <v>4</v>
      </c>
      <c r="P467">
        <v>12000</v>
      </c>
      <c r="Q467">
        <v>20</v>
      </c>
      <c r="R467">
        <v>38400</v>
      </c>
      <c r="S467">
        <v>7933.33</v>
      </c>
      <c r="T467" t="s">
        <v>30</v>
      </c>
      <c r="U467" t="s">
        <v>51</v>
      </c>
      <c r="V467" t="s">
        <v>65</v>
      </c>
    </row>
    <row r="468" spans="1:22" x14ac:dyDescent="0.35">
      <c r="A468" t="s">
        <v>1153</v>
      </c>
      <c r="B468" s="5">
        <v>45539</v>
      </c>
      <c r="C468" s="5" t="str">
        <f t="shared" si="15"/>
        <v>2024</v>
      </c>
      <c r="D468" s="5" t="str">
        <f t="shared" si="14"/>
        <v>September</v>
      </c>
      <c r="E468" t="s">
        <v>754</v>
      </c>
      <c r="F468" t="s">
        <v>709</v>
      </c>
      <c r="G468" t="s">
        <v>23</v>
      </c>
      <c r="H468">
        <v>30</v>
      </c>
      <c r="I468" t="s">
        <v>46</v>
      </c>
      <c r="J468" t="s">
        <v>25</v>
      </c>
      <c r="K468" t="s">
        <v>26</v>
      </c>
      <c r="L468" t="s">
        <v>78</v>
      </c>
      <c r="M468" t="s">
        <v>79</v>
      </c>
      <c r="N468" t="s">
        <v>156</v>
      </c>
      <c r="O468">
        <v>2</v>
      </c>
      <c r="P468">
        <v>800</v>
      </c>
      <c r="Q468">
        <v>20</v>
      </c>
      <c r="R468">
        <v>1280</v>
      </c>
      <c r="S468">
        <v>169.6</v>
      </c>
      <c r="T468" t="s">
        <v>59</v>
      </c>
      <c r="U468" t="s">
        <v>51</v>
      </c>
      <c r="V468" t="s">
        <v>60</v>
      </c>
    </row>
    <row r="469" spans="1:22" x14ac:dyDescent="0.35">
      <c r="A469" t="s">
        <v>1154</v>
      </c>
      <c r="B469" s="5">
        <v>45411</v>
      </c>
      <c r="C469" s="5" t="str">
        <f t="shared" si="15"/>
        <v>2024</v>
      </c>
      <c r="D469" s="5" t="str">
        <f t="shared" si="14"/>
        <v>April</v>
      </c>
      <c r="E469" t="s">
        <v>631</v>
      </c>
      <c r="F469" t="s">
        <v>298</v>
      </c>
      <c r="G469" t="s">
        <v>23</v>
      </c>
      <c r="H469">
        <v>35</v>
      </c>
      <c r="I469" t="s">
        <v>24</v>
      </c>
      <c r="J469" t="s">
        <v>25</v>
      </c>
      <c r="K469" t="s">
        <v>26</v>
      </c>
      <c r="L469" t="s">
        <v>89</v>
      </c>
      <c r="M469" t="s">
        <v>90</v>
      </c>
      <c r="N469" t="s">
        <v>91</v>
      </c>
      <c r="O469">
        <v>5</v>
      </c>
      <c r="P469">
        <v>9000</v>
      </c>
      <c r="Q469">
        <v>20</v>
      </c>
      <c r="R469">
        <v>36000</v>
      </c>
      <c r="S469">
        <v>4112.2299999999996</v>
      </c>
      <c r="T469" t="s">
        <v>50</v>
      </c>
      <c r="U469" t="s">
        <v>51</v>
      </c>
      <c r="V469" t="s">
        <v>32</v>
      </c>
    </row>
    <row r="470" spans="1:22" x14ac:dyDescent="0.35">
      <c r="A470" t="s">
        <v>1155</v>
      </c>
      <c r="B470" s="5">
        <v>45343</v>
      </c>
      <c r="C470" s="5" t="str">
        <f t="shared" si="15"/>
        <v>2024</v>
      </c>
      <c r="D470" s="5" t="str">
        <f t="shared" si="14"/>
        <v>February</v>
      </c>
      <c r="E470" t="s">
        <v>135</v>
      </c>
      <c r="F470" t="s">
        <v>424</v>
      </c>
      <c r="G470" t="s">
        <v>37</v>
      </c>
      <c r="H470">
        <v>27</v>
      </c>
      <c r="I470" t="s">
        <v>126</v>
      </c>
      <c r="J470" t="s">
        <v>127</v>
      </c>
      <c r="K470" t="s">
        <v>88</v>
      </c>
      <c r="L470" t="s">
        <v>89</v>
      </c>
      <c r="M470" t="s">
        <v>90</v>
      </c>
      <c r="N470" t="s">
        <v>242</v>
      </c>
      <c r="O470">
        <v>4</v>
      </c>
      <c r="P470">
        <v>6000</v>
      </c>
      <c r="Q470">
        <v>15</v>
      </c>
      <c r="R470">
        <v>20400</v>
      </c>
      <c r="S470">
        <v>4373.3</v>
      </c>
      <c r="T470" t="s">
        <v>59</v>
      </c>
      <c r="U470" t="s">
        <v>51</v>
      </c>
      <c r="V470" t="s">
        <v>117</v>
      </c>
    </row>
    <row r="471" spans="1:22" x14ac:dyDescent="0.35">
      <c r="A471" t="s">
        <v>1156</v>
      </c>
      <c r="B471" s="5">
        <v>45607</v>
      </c>
      <c r="C471" s="5" t="str">
        <f t="shared" si="15"/>
        <v>2024</v>
      </c>
      <c r="D471" s="5" t="str">
        <f t="shared" si="14"/>
        <v>November</v>
      </c>
      <c r="E471" t="s">
        <v>337</v>
      </c>
      <c r="F471" t="s">
        <v>883</v>
      </c>
      <c r="G471" t="s">
        <v>37</v>
      </c>
      <c r="H471">
        <v>21</v>
      </c>
      <c r="I471" t="s">
        <v>86</v>
      </c>
      <c r="J471" t="s">
        <v>87</v>
      </c>
      <c r="K471" t="s">
        <v>88</v>
      </c>
      <c r="L471" t="s">
        <v>78</v>
      </c>
      <c r="M471" t="s">
        <v>79</v>
      </c>
      <c r="N471" t="s">
        <v>80</v>
      </c>
      <c r="O471">
        <v>1</v>
      </c>
      <c r="P471">
        <v>1800</v>
      </c>
      <c r="Q471">
        <v>10</v>
      </c>
      <c r="R471">
        <v>1620</v>
      </c>
      <c r="S471">
        <v>194.53</v>
      </c>
      <c r="T471" t="s">
        <v>30</v>
      </c>
      <c r="U471" t="s">
        <v>51</v>
      </c>
      <c r="V471" t="s">
        <v>60</v>
      </c>
    </row>
    <row r="472" spans="1:22" x14ac:dyDescent="0.35">
      <c r="A472" t="s">
        <v>1158</v>
      </c>
      <c r="B472" s="5">
        <v>45684</v>
      </c>
      <c r="C472" s="5" t="str">
        <f t="shared" si="15"/>
        <v>2025</v>
      </c>
      <c r="D472" s="5" t="str">
        <f t="shared" si="14"/>
        <v>January</v>
      </c>
      <c r="E472" t="s">
        <v>104</v>
      </c>
      <c r="F472" t="s">
        <v>1159</v>
      </c>
      <c r="G472" t="s">
        <v>23</v>
      </c>
      <c r="H472">
        <v>49</v>
      </c>
      <c r="I472" t="s">
        <v>57</v>
      </c>
      <c r="J472" t="s">
        <v>57</v>
      </c>
      <c r="K472" t="s">
        <v>58</v>
      </c>
      <c r="L472" t="s">
        <v>78</v>
      </c>
      <c r="M472" t="s">
        <v>79</v>
      </c>
      <c r="N472" t="s">
        <v>156</v>
      </c>
      <c r="O472">
        <v>3</v>
      </c>
      <c r="P472">
        <v>800</v>
      </c>
      <c r="Q472">
        <v>10</v>
      </c>
      <c r="R472">
        <v>2160</v>
      </c>
      <c r="S472">
        <v>582.95000000000005</v>
      </c>
      <c r="T472" t="s">
        <v>30</v>
      </c>
      <c r="U472" t="s">
        <v>51</v>
      </c>
      <c r="V472" t="s">
        <v>32</v>
      </c>
    </row>
    <row r="473" spans="1:22" x14ac:dyDescent="0.35">
      <c r="A473" t="s">
        <v>1160</v>
      </c>
      <c r="B473" s="5">
        <v>45704</v>
      </c>
      <c r="C473" s="5" t="str">
        <f t="shared" si="15"/>
        <v>2025</v>
      </c>
      <c r="D473" s="5" t="str">
        <f t="shared" si="14"/>
        <v>February</v>
      </c>
      <c r="E473" t="s">
        <v>673</v>
      </c>
      <c r="F473" t="s">
        <v>226</v>
      </c>
      <c r="G473" t="s">
        <v>23</v>
      </c>
      <c r="H473">
        <v>22</v>
      </c>
      <c r="I473" t="s">
        <v>86</v>
      </c>
      <c r="J473" t="s">
        <v>87</v>
      </c>
      <c r="K473" t="s">
        <v>88</v>
      </c>
      <c r="L473" t="s">
        <v>27</v>
      </c>
      <c r="M473" t="s">
        <v>28</v>
      </c>
      <c r="N473" t="s">
        <v>29</v>
      </c>
      <c r="O473">
        <v>2</v>
      </c>
      <c r="P473">
        <v>12000</v>
      </c>
      <c r="Q473">
        <v>5</v>
      </c>
      <c r="R473">
        <v>22800</v>
      </c>
      <c r="S473">
        <v>2344.64</v>
      </c>
      <c r="T473" t="s">
        <v>81</v>
      </c>
      <c r="U473" t="s">
        <v>51</v>
      </c>
      <c r="V473" t="s">
        <v>52</v>
      </c>
    </row>
    <row r="474" spans="1:22" x14ac:dyDescent="0.35">
      <c r="A474" t="s">
        <v>1162</v>
      </c>
      <c r="B474" s="5">
        <v>45513</v>
      </c>
      <c r="C474" s="5" t="str">
        <f t="shared" si="15"/>
        <v>2024</v>
      </c>
      <c r="D474" s="5" t="str">
        <f t="shared" si="14"/>
        <v>August</v>
      </c>
      <c r="E474" t="s">
        <v>539</v>
      </c>
      <c r="F474" t="s">
        <v>449</v>
      </c>
      <c r="G474" t="s">
        <v>37</v>
      </c>
      <c r="H474">
        <v>25</v>
      </c>
      <c r="I474" t="s">
        <v>98</v>
      </c>
      <c r="J474" t="s">
        <v>99</v>
      </c>
      <c r="K474" t="s">
        <v>100</v>
      </c>
      <c r="L474" t="s">
        <v>78</v>
      </c>
      <c r="M474" t="s">
        <v>79</v>
      </c>
      <c r="N474" t="s">
        <v>80</v>
      </c>
      <c r="O474">
        <v>1</v>
      </c>
      <c r="P474">
        <v>1800</v>
      </c>
      <c r="Q474">
        <v>10</v>
      </c>
      <c r="R474">
        <v>1620</v>
      </c>
      <c r="S474">
        <v>387.22</v>
      </c>
      <c r="T474" t="s">
        <v>81</v>
      </c>
      <c r="U474" t="s">
        <v>51</v>
      </c>
      <c r="V474" t="s">
        <v>60</v>
      </c>
    </row>
    <row r="475" spans="1:22" x14ac:dyDescent="0.35">
      <c r="A475" t="s">
        <v>1163</v>
      </c>
      <c r="B475" s="5">
        <v>45602</v>
      </c>
      <c r="C475" s="5" t="str">
        <f t="shared" si="15"/>
        <v>2024</v>
      </c>
      <c r="D475" s="5" t="str">
        <f t="shared" si="14"/>
        <v>November</v>
      </c>
      <c r="E475" t="s">
        <v>839</v>
      </c>
      <c r="F475" t="s">
        <v>650</v>
      </c>
      <c r="G475" t="s">
        <v>37</v>
      </c>
      <c r="H475">
        <v>53</v>
      </c>
      <c r="I475" t="s">
        <v>57</v>
      </c>
      <c r="J475" t="s">
        <v>57</v>
      </c>
      <c r="K475" t="s">
        <v>58</v>
      </c>
      <c r="L475" t="s">
        <v>78</v>
      </c>
      <c r="M475" t="s">
        <v>79</v>
      </c>
      <c r="N475" t="s">
        <v>101</v>
      </c>
      <c r="O475">
        <v>3</v>
      </c>
      <c r="P475">
        <v>3500</v>
      </c>
      <c r="Q475">
        <v>10</v>
      </c>
      <c r="R475">
        <v>9450</v>
      </c>
      <c r="S475">
        <v>1943.3</v>
      </c>
      <c r="T475" t="s">
        <v>50</v>
      </c>
      <c r="U475" t="s">
        <v>51</v>
      </c>
      <c r="V475" t="s">
        <v>52</v>
      </c>
    </row>
    <row r="476" spans="1:22" x14ac:dyDescent="0.35">
      <c r="A476" t="s">
        <v>1165</v>
      </c>
      <c r="B476" s="5">
        <v>45565</v>
      </c>
      <c r="C476" s="5" t="str">
        <f t="shared" si="15"/>
        <v>2024</v>
      </c>
      <c r="D476" s="5" t="str">
        <f t="shared" si="14"/>
        <v>September</v>
      </c>
      <c r="E476" t="s">
        <v>245</v>
      </c>
      <c r="F476" t="s">
        <v>352</v>
      </c>
      <c r="G476" t="s">
        <v>37</v>
      </c>
      <c r="H476">
        <v>29</v>
      </c>
      <c r="I476" t="s">
        <v>126</v>
      </c>
      <c r="J476" t="s">
        <v>127</v>
      </c>
      <c r="K476" t="s">
        <v>88</v>
      </c>
      <c r="L476" t="s">
        <v>27</v>
      </c>
      <c r="M476" t="s">
        <v>28</v>
      </c>
      <c r="N476" t="s">
        <v>140</v>
      </c>
      <c r="O476">
        <v>5</v>
      </c>
      <c r="P476">
        <v>65000</v>
      </c>
      <c r="Q476">
        <v>0</v>
      </c>
      <c r="R476">
        <v>325000</v>
      </c>
      <c r="S476">
        <v>70078.67</v>
      </c>
      <c r="T476" t="s">
        <v>41</v>
      </c>
      <c r="U476" t="s">
        <v>92</v>
      </c>
      <c r="V476" t="s">
        <v>52</v>
      </c>
    </row>
    <row r="477" spans="1:22" x14ac:dyDescent="0.35">
      <c r="A477" t="s">
        <v>1166</v>
      </c>
      <c r="B477" s="5">
        <v>45826</v>
      </c>
      <c r="C477" s="5" t="str">
        <f t="shared" si="15"/>
        <v>2025</v>
      </c>
      <c r="D477" s="5" t="str">
        <f t="shared" si="14"/>
        <v>June</v>
      </c>
      <c r="E477" t="s">
        <v>405</v>
      </c>
      <c r="F477" t="s">
        <v>650</v>
      </c>
      <c r="G477" t="s">
        <v>37</v>
      </c>
      <c r="H477">
        <v>53</v>
      </c>
      <c r="I477" t="s">
        <v>38</v>
      </c>
      <c r="J477" t="s">
        <v>39</v>
      </c>
      <c r="K477" t="s">
        <v>26</v>
      </c>
      <c r="L477" t="s">
        <v>27</v>
      </c>
      <c r="M477" t="s">
        <v>28</v>
      </c>
      <c r="N477" t="s">
        <v>140</v>
      </c>
      <c r="O477">
        <v>3</v>
      </c>
      <c r="P477">
        <v>65000</v>
      </c>
      <c r="Q477">
        <v>5</v>
      </c>
      <c r="R477">
        <v>185250</v>
      </c>
      <c r="S477">
        <v>27674.880000000001</v>
      </c>
      <c r="T477" t="s">
        <v>41</v>
      </c>
      <c r="U477" t="s">
        <v>51</v>
      </c>
      <c r="V477" t="s">
        <v>93</v>
      </c>
    </row>
    <row r="478" spans="1:22" x14ac:dyDescent="0.35">
      <c r="A478" t="s">
        <v>1167</v>
      </c>
      <c r="B478" s="5">
        <v>45698</v>
      </c>
      <c r="C478" s="5" t="str">
        <f t="shared" si="15"/>
        <v>2025</v>
      </c>
      <c r="D478" s="5" t="str">
        <f t="shared" si="14"/>
        <v>February</v>
      </c>
      <c r="E478" t="s">
        <v>260</v>
      </c>
      <c r="F478" t="s">
        <v>305</v>
      </c>
      <c r="G478" t="s">
        <v>37</v>
      </c>
      <c r="H478">
        <v>20</v>
      </c>
      <c r="I478" t="s">
        <v>114</v>
      </c>
      <c r="J478" t="s">
        <v>115</v>
      </c>
      <c r="K478" t="s">
        <v>88</v>
      </c>
      <c r="L478" t="s">
        <v>78</v>
      </c>
      <c r="M478" t="s">
        <v>79</v>
      </c>
      <c r="N478" t="s">
        <v>80</v>
      </c>
      <c r="O478">
        <v>3</v>
      </c>
      <c r="P478">
        <v>1800</v>
      </c>
      <c r="Q478">
        <v>0</v>
      </c>
      <c r="R478">
        <v>5400</v>
      </c>
      <c r="S478">
        <v>923.63</v>
      </c>
      <c r="T478" t="s">
        <v>30</v>
      </c>
      <c r="U478" t="s">
        <v>92</v>
      </c>
      <c r="V478" t="s">
        <v>52</v>
      </c>
    </row>
    <row r="479" spans="1:22" x14ac:dyDescent="0.35">
      <c r="A479" t="s">
        <v>1168</v>
      </c>
      <c r="B479" s="5">
        <v>45588</v>
      </c>
      <c r="C479" s="5" t="str">
        <f t="shared" si="15"/>
        <v>2024</v>
      </c>
      <c r="D479" s="5" t="str">
        <f t="shared" si="14"/>
        <v>October</v>
      </c>
      <c r="E479" t="s">
        <v>388</v>
      </c>
      <c r="F479" t="s">
        <v>560</v>
      </c>
      <c r="G479" t="s">
        <v>23</v>
      </c>
      <c r="H479">
        <v>50</v>
      </c>
      <c r="I479" t="s">
        <v>98</v>
      </c>
      <c r="J479" t="s">
        <v>99</v>
      </c>
      <c r="K479" t="s">
        <v>100</v>
      </c>
      <c r="L479" t="s">
        <v>47</v>
      </c>
      <c r="M479" t="s">
        <v>48</v>
      </c>
      <c r="N479" t="s">
        <v>215</v>
      </c>
      <c r="O479">
        <v>5</v>
      </c>
      <c r="P479">
        <v>450</v>
      </c>
      <c r="Q479">
        <v>10</v>
      </c>
      <c r="R479">
        <v>2025</v>
      </c>
      <c r="S479">
        <v>232.93</v>
      </c>
      <c r="T479" t="s">
        <v>81</v>
      </c>
      <c r="U479" t="s">
        <v>51</v>
      </c>
      <c r="V479" t="s">
        <v>32</v>
      </c>
    </row>
    <row r="480" spans="1:22" x14ac:dyDescent="0.35">
      <c r="A480" t="s">
        <v>1170</v>
      </c>
      <c r="B480" s="5">
        <v>45380</v>
      </c>
      <c r="C480" s="5" t="str">
        <f t="shared" si="15"/>
        <v>2024</v>
      </c>
      <c r="D480" s="5" t="str">
        <f t="shared" si="14"/>
        <v>March</v>
      </c>
      <c r="E480" t="s">
        <v>131</v>
      </c>
      <c r="F480" t="s">
        <v>903</v>
      </c>
      <c r="G480" t="s">
        <v>37</v>
      </c>
      <c r="H480">
        <v>31</v>
      </c>
      <c r="I480" t="s">
        <v>46</v>
      </c>
      <c r="J480" t="s">
        <v>25</v>
      </c>
      <c r="K480" t="s">
        <v>26</v>
      </c>
      <c r="L480" t="s">
        <v>89</v>
      </c>
      <c r="M480" t="s">
        <v>90</v>
      </c>
      <c r="N480" t="s">
        <v>128</v>
      </c>
      <c r="O480">
        <v>5</v>
      </c>
      <c r="P480">
        <v>7000</v>
      </c>
      <c r="Q480">
        <v>20</v>
      </c>
      <c r="R480">
        <v>28000</v>
      </c>
      <c r="S480">
        <v>4283.3999999999996</v>
      </c>
      <c r="T480" t="s">
        <v>50</v>
      </c>
      <c r="U480" t="s">
        <v>51</v>
      </c>
      <c r="V480" t="s">
        <v>117</v>
      </c>
    </row>
    <row r="481" spans="1:22" x14ac:dyDescent="0.35">
      <c r="A481" t="s">
        <v>1172</v>
      </c>
      <c r="B481" s="5">
        <v>45623</v>
      </c>
      <c r="C481" s="5" t="str">
        <f t="shared" si="15"/>
        <v>2024</v>
      </c>
      <c r="D481" s="5" t="str">
        <f t="shared" si="14"/>
        <v>November</v>
      </c>
      <c r="E481" t="s">
        <v>839</v>
      </c>
      <c r="F481" t="s">
        <v>613</v>
      </c>
      <c r="G481" t="s">
        <v>37</v>
      </c>
      <c r="H481">
        <v>23</v>
      </c>
      <c r="I481" t="s">
        <v>114</v>
      </c>
      <c r="J481" t="s">
        <v>115</v>
      </c>
      <c r="K481" t="s">
        <v>88</v>
      </c>
      <c r="L481" t="s">
        <v>89</v>
      </c>
      <c r="M481" t="s">
        <v>90</v>
      </c>
      <c r="N481" t="s">
        <v>128</v>
      </c>
      <c r="O481">
        <v>3</v>
      </c>
      <c r="P481">
        <v>7000</v>
      </c>
      <c r="Q481">
        <v>0</v>
      </c>
      <c r="R481">
        <v>21000</v>
      </c>
      <c r="S481">
        <v>5856.38</v>
      </c>
      <c r="T481" t="s">
        <v>41</v>
      </c>
      <c r="U481" t="s">
        <v>51</v>
      </c>
      <c r="V481" t="s">
        <v>60</v>
      </c>
    </row>
    <row r="482" spans="1:22" x14ac:dyDescent="0.35">
      <c r="A482" t="s">
        <v>1174</v>
      </c>
      <c r="B482" s="5">
        <v>45748</v>
      </c>
      <c r="C482" s="5" t="str">
        <f t="shared" si="15"/>
        <v>2025</v>
      </c>
      <c r="D482" s="5" t="str">
        <f t="shared" si="14"/>
        <v>April</v>
      </c>
      <c r="E482" t="s">
        <v>163</v>
      </c>
      <c r="F482" t="s">
        <v>511</v>
      </c>
      <c r="G482" t="s">
        <v>23</v>
      </c>
      <c r="H482">
        <v>34</v>
      </c>
      <c r="I482" t="s">
        <v>24</v>
      </c>
      <c r="J482" t="s">
        <v>25</v>
      </c>
      <c r="K482" t="s">
        <v>26</v>
      </c>
      <c r="L482" t="s">
        <v>47</v>
      </c>
      <c r="M482" t="s">
        <v>48</v>
      </c>
      <c r="N482" t="s">
        <v>116</v>
      </c>
      <c r="O482">
        <v>3</v>
      </c>
      <c r="P482">
        <v>120</v>
      </c>
      <c r="Q482">
        <v>10</v>
      </c>
      <c r="R482">
        <v>324</v>
      </c>
      <c r="S482">
        <v>60.94</v>
      </c>
      <c r="T482" t="s">
        <v>81</v>
      </c>
      <c r="U482" t="s">
        <v>51</v>
      </c>
      <c r="V482" t="s">
        <v>93</v>
      </c>
    </row>
    <row r="483" spans="1:22" x14ac:dyDescent="0.35">
      <c r="A483" t="s">
        <v>1175</v>
      </c>
      <c r="B483" s="5">
        <v>45375</v>
      </c>
      <c r="C483" s="5" t="str">
        <f t="shared" si="15"/>
        <v>2024</v>
      </c>
      <c r="D483" s="5" t="str">
        <f t="shared" si="14"/>
        <v>March</v>
      </c>
      <c r="E483" t="s">
        <v>446</v>
      </c>
      <c r="F483" t="s">
        <v>249</v>
      </c>
      <c r="G483" t="s">
        <v>23</v>
      </c>
      <c r="H483">
        <v>31</v>
      </c>
      <c r="I483" t="s">
        <v>114</v>
      </c>
      <c r="J483" t="s">
        <v>115</v>
      </c>
      <c r="K483" t="s">
        <v>88</v>
      </c>
      <c r="L483" t="s">
        <v>27</v>
      </c>
      <c r="M483" t="s">
        <v>28</v>
      </c>
      <c r="N483" t="s">
        <v>40</v>
      </c>
      <c r="O483">
        <v>2</v>
      </c>
      <c r="P483">
        <v>2500</v>
      </c>
      <c r="Q483">
        <v>5</v>
      </c>
      <c r="R483">
        <v>4750</v>
      </c>
      <c r="S483">
        <v>434.53</v>
      </c>
      <c r="T483" t="s">
        <v>59</v>
      </c>
      <c r="U483" t="s">
        <v>51</v>
      </c>
      <c r="V483" t="s">
        <v>60</v>
      </c>
    </row>
    <row r="484" spans="1:22" x14ac:dyDescent="0.35">
      <c r="A484" t="s">
        <v>1176</v>
      </c>
      <c r="B484" s="5">
        <v>45648</v>
      </c>
      <c r="C484" s="5" t="str">
        <f t="shared" si="15"/>
        <v>2024</v>
      </c>
      <c r="D484" s="5" t="str">
        <f t="shared" si="14"/>
        <v>December</v>
      </c>
      <c r="E484" t="s">
        <v>530</v>
      </c>
      <c r="F484" t="s">
        <v>179</v>
      </c>
      <c r="G484" t="s">
        <v>37</v>
      </c>
      <c r="H484">
        <v>44</v>
      </c>
      <c r="I484" t="s">
        <v>86</v>
      </c>
      <c r="J484" t="s">
        <v>87</v>
      </c>
      <c r="K484" t="s">
        <v>88</v>
      </c>
      <c r="L484" t="s">
        <v>27</v>
      </c>
      <c r="M484" t="s">
        <v>28</v>
      </c>
      <c r="N484" t="s">
        <v>29</v>
      </c>
      <c r="O484">
        <v>2</v>
      </c>
      <c r="P484">
        <v>12000</v>
      </c>
      <c r="Q484">
        <v>0</v>
      </c>
      <c r="R484">
        <v>24000</v>
      </c>
      <c r="S484">
        <v>3194.5</v>
      </c>
      <c r="T484" t="s">
        <v>50</v>
      </c>
      <c r="U484" t="s">
        <v>51</v>
      </c>
      <c r="V484" t="s">
        <v>60</v>
      </c>
    </row>
    <row r="485" spans="1:22" x14ac:dyDescent="0.35">
      <c r="A485" t="s">
        <v>1177</v>
      </c>
      <c r="B485" s="5">
        <v>45606</v>
      </c>
      <c r="C485" s="5" t="str">
        <f t="shared" si="15"/>
        <v>2024</v>
      </c>
      <c r="D485" s="5" t="str">
        <f t="shared" si="14"/>
        <v>November</v>
      </c>
      <c r="E485" t="s">
        <v>809</v>
      </c>
      <c r="F485" t="s">
        <v>602</v>
      </c>
      <c r="G485" t="s">
        <v>23</v>
      </c>
      <c r="H485">
        <v>40</v>
      </c>
      <c r="I485" t="s">
        <v>114</v>
      </c>
      <c r="J485" t="s">
        <v>115</v>
      </c>
      <c r="K485" t="s">
        <v>88</v>
      </c>
      <c r="L485" t="s">
        <v>89</v>
      </c>
      <c r="M485" t="s">
        <v>90</v>
      </c>
      <c r="N485" t="s">
        <v>128</v>
      </c>
      <c r="O485">
        <v>4</v>
      </c>
      <c r="P485">
        <v>7000</v>
      </c>
      <c r="Q485">
        <v>15</v>
      </c>
      <c r="R485">
        <v>23800</v>
      </c>
      <c r="S485">
        <v>3311.29</v>
      </c>
      <c r="T485" t="s">
        <v>50</v>
      </c>
      <c r="U485" t="s">
        <v>31</v>
      </c>
      <c r="V485" t="s">
        <v>65</v>
      </c>
    </row>
    <row r="486" spans="1:22" x14ac:dyDescent="0.35">
      <c r="A486" t="s">
        <v>1179</v>
      </c>
      <c r="B486" s="5">
        <v>45798</v>
      </c>
      <c r="C486" s="5" t="str">
        <f t="shared" si="15"/>
        <v>2025</v>
      </c>
      <c r="D486" s="5" t="str">
        <f t="shared" si="14"/>
        <v>May</v>
      </c>
      <c r="E486" t="s">
        <v>208</v>
      </c>
      <c r="F486" t="s">
        <v>352</v>
      </c>
      <c r="G486" t="s">
        <v>23</v>
      </c>
      <c r="H486">
        <v>47</v>
      </c>
      <c r="I486" t="s">
        <v>114</v>
      </c>
      <c r="J486" t="s">
        <v>115</v>
      </c>
      <c r="K486" t="s">
        <v>88</v>
      </c>
      <c r="L486" t="s">
        <v>89</v>
      </c>
      <c r="M486" t="s">
        <v>90</v>
      </c>
      <c r="N486" t="s">
        <v>242</v>
      </c>
      <c r="O486">
        <v>4</v>
      </c>
      <c r="P486">
        <v>6000</v>
      </c>
      <c r="Q486">
        <v>0</v>
      </c>
      <c r="R486">
        <v>24000</v>
      </c>
      <c r="S486">
        <v>3544.07</v>
      </c>
      <c r="T486" t="s">
        <v>50</v>
      </c>
      <c r="U486" t="s">
        <v>92</v>
      </c>
      <c r="V486" t="s">
        <v>52</v>
      </c>
    </row>
    <row r="487" spans="1:22" x14ac:dyDescent="0.35">
      <c r="A487" t="s">
        <v>1180</v>
      </c>
      <c r="B487" s="5">
        <v>45340</v>
      </c>
      <c r="C487" s="5" t="str">
        <f t="shared" si="15"/>
        <v>2024</v>
      </c>
      <c r="D487" s="5" t="str">
        <f t="shared" si="14"/>
        <v>February</v>
      </c>
      <c r="E487" t="s">
        <v>539</v>
      </c>
      <c r="F487" t="s">
        <v>1182</v>
      </c>
      <c r="G487" t="s">
        <v>23</v>
      </c>
      <c r="H487">
        <v>51</v>
      </c>
      <c r="I487" t="s">
        <v>114</v>
      </c>
      <c r="J487" t="s">
        <v>115</v>
      </c>
      <c r="K487" t="s">
        <v>88</v>
      </c>
      <c r="L487" t="s">
        <v>27</v>
      </c>
      <c r="M487" t="s">
        <v>28</v>
      </c>
      <c r="N487" t="s">
        <v>40</v>
      </c>
      <c r="O487">
        <v>4</v>
      </c>
      <c r="P487">
        <v>2500</v>
      </c>
      <c r="Q487">
        <v>15</v>
      </c>
      <c r="R487">
        <v>8500</v>
      </c>
      <c r="S487">
        <v>1500.3</v>
      </c>
      <c r="T487" t="s">
        <v>41</v>
      </c>
      <c r="U487" t="s">
        <v>51</v>
      </c>
      <c r="V487" t="s">
        <v>52</v>
      </c>
    </row>
    <row r="488" spans="1:22" x14ac:dyDescent="0.35">
      <c r="A488" t="s">
        <v>1183</v>
      </c>
      <c r="B488" s="5">
        <v>45530</v>
      </c>
      <c r="C488" s="5" t="str">
        <f t="shared" si="15"/>
        <v>2024</v>
      </c>
      <c r="D488" s="5" t="str">
        <f t="shared" si="14"/>
        <v>August</v>
      </c>
      <c r="E488" t="s">
        <v>167</v>
      </c>
      <c r="F488" t="s">
        <v>56</v>
      </c>
      <c r="G488" t="s">
        <v>23</v>
      </c>
      <c r="H488">
        <v>24</v>
      </c>
      <c r="I488" t="s">
        <v>38</v>
      </c>
      <c r="J488" t="s">
        <v>39</v>
      </c>
      <c r="K488" t="s">
        <v>26</v>
      </c>
      <c r="L488" t="s">
        <v>89</v>
      </c>
      <c r="M488" t="s">
        <v>90</v>
      </c>
      <c r="N488" t="s">
        <v>242</v>
      </c>
      <c r="O488">
        <v>5</v>
      </c>
      <c r="P488">
        <v>6000</v>
      </c>
      <c r="Q488">
        <v>10</v>
      </c>
      <c r="R488">
        <v>27000</v>
      </c>
      <c r="S488">
        <v>2280.19</v>
      </c>
      <c r="T488" t="s">
        <v>41</v>
      </c>
      <c r="U488" t="s">
        <v>51</v>
      </c>
      <c r="V488" t="s">
        <v>60</v>
      </c>
    </row>
    <row r="489" spans="1:22" x14ac:dyDescent="0.35">
      <c r="A489" t="s">
        <v>1185</v>
      </c>
      <c r="B489" s="5">
        <v>45492</v>
      </c>
      <c r="C489" s="5" t="str">
        <f t="shared" si="15"/>
        <v>2024</v>
      </c>
      <c r="D489" s="5" t="str">
        <f t="shared" si="14"/>
        <v>July</v>
      </c>
      <c r="E489" t="s">
        <v>689</v>
      </c>
      <c r="F489" t="s">
        <v>441</v>
      </c>
      <c r="G489" t="s">
        <v>37</v>
      </c>
      <c r="H489">
        <v>29</v>
      </c>
      <c r="I489" t="s">
        <v>114</v>
      </c>
      <c r="J489" t="s">
        <v>115</v>
      </c>
      <c r="K489" t="s">
        <v>88</v>
      </c>
      <c r="L489" t="s">
        <v>47</v>
      </c>
      <c r="M489" t="s">
        <v>48</v>
      </c>
      <c r="N489" t="s">
        <v>49</v>
      </c>
      <c r="O489">
        <v>1</v>
      </c>
      <c r="P489">
        <v>150</v>
      </c>
      <c r="Q489">
        <v>0</v>
      </c>
      <c r="R489">
        <v>150</v>
      </c>
      <c r="S489">
        <v>20.12</v>
      </c>
      <c r="T489" t="s">
        <v>30</v>
      </c>
      <c r="U489" t="s">
        <v>51</v>
      </c>
      <c r="V489" t="s">
        <v>65</v>
      </c>
    </row>
    <row r="490" spans="1:22" x14ac:dyDescent="0.35">
      <c r="A490" t="s">
        <v>1187</v>
      </c>
      <c r="B490" s="5">
        <v>45444</v>
      </c>
      <c r="C490" s="5" t="str">
        <f t="shared" si="15"/>
        <v>2024</v>
      </c>
      <c r="D490" s="5" t="str">
        <f t="shared" si="14"/>
        <v>June</v>
      </c>
      <c r="E490" t="s">
        <v>429</v>
      </c>
      <c r="F490" t="s">
        <v>45</v>
      </c>
      <c r="G490" t="s">
        <v>37</v>
      </c>
      <c r="H490">
        <v>58</v>
      </c>
      <c r="I490" t="s">
        <v>98</v>
      </c>
      <c r="J490" t="s">
        <v>99</v>
      </c>
      <c r="K490" t="s">
        <v>100</v>
      </c>
      <c r="L490" t="s">
        <v>27</v>
      </c>
      <c r="M490" t="s">
        <v>28</v>
      </c>
      <c r="N490" t="s">
        <v>73</v>
      </c>
      <c r="O490">
        <v>4</v>
      </c>
      <c r="P490">
        <v>25000</v>
      </c>
      <c r="Q490">
        <v>0</v>
      </c>
      <c r="R490">
        <v>100000</v>
      </c>
      <c r="S490">
        <v>15277.72</v>
      </c>
      <c r="T490" t="s">
        <v>41</v>
      </c>
      <c r="U490" t="s">
        <v>51</v>
      </c>
      <c r="V490" t="s">
        <v>93</v>
      </c>
    </row>
    <row r="491" spans="1:22" x14ac:dyDescent="0.35">
      <c r="A491" t="s">
        <v>1189</v>
      </c>
      <c r="B491" s="5">
        <v>45686</v>
      </c>
      <c r="C491" s="5" t="str">
        <f t="shared" si="15"/>
        <v>2025</v>
      </c>
      <c r="D491" s="5" t="str">
        <f t="shared" si="14"/>
        <v>January</v>
      </c>
      <c r="E491" t="s">
        <v>522</v>
      </c>
      <c r="F491" t="s">
        <v>536</v>
      </c>
      <c r="G491" t="s">
        <v>23</v>
      </c>
      <c r="H491">
        <v>41</v>
      </c>
      <c r="I491" t="s">
        <v>46</v>
      </c>
      <c r="J491" t="s">
        <v>25</v>
      </c>
      <c r="K491" t="s">
        <v>26</v>
      </c>
      <c r="L491" t="s">
        <v>89</v>
      </c>
      <c r="M491" t="s">
        <v>90</v>
      </c>
      <c r="N491" t="s">
        <v>128</v>
      </c>
      <c r="O491">
        <v>5</v>
      </c>
      <c r="P491">
        <v>7000</v>
      </c>
      <c r="Q491">
        <v>0</v>
      </c>
      <c r="R491">
        <v>35000</v>
      </c>
      <c r="S491">
        <v>4622.3999999999996</v>
      </c>
      <c r="T491" t="s">
        <v>50</v>
      </c>
      <c r="U491" t="s">
        <v>51</v>
      </c>
      <c r="V491" t="s">
        <v>60</v>
      </c>
    </row>
    <row r="492" spans="1:22" x14ac:dyDescent="0.35">
      <c r="A492" t="s">
        <v>1190</v>
      </c>
      <c r="B492" s="5">
        <v>45789</v>
      </c>
      <c r="C492" s="5" t="str">
        <f t="shared" si="15"/>
        <v>2025</v>
      </c>
      <c r="D492" s="5" t="str">
        <f t="shared" si="14"/>
        <v>May</v>
      </c>
      <c r="E492" t="s">
        <v>659</v>
      </c>
      <c r="F492" t="s">
        <v>97</v>
      </c>
      <c r="G492" t="s">
        <v>37</v>
      </c>
      <c r="H492">
        <v>36</v>
      </c>
      <c r="I492" t="s">
        <v>24</v>
      </c>
      <c r="J492" t="s">
        <v>25</v>
      </c>
      <c r="K492" t="s">
        <v>26</v>
      </c>
      <c r="L492" t="s">
        <v>78</v>
      </c>
      <c r="M492" t="s">
        <v>79</v>
      </c>
      <c r="N492" t="s">
        <v>101</v>
      </c>
      <c r="O492">
        <v>4</v>
      </c>
      <c r="P492">
        <v>3500</v>
      </c>
      <c r="Q492">
        <v>0</v>
      </c>
      <c r="R492">
        <v>14000</v>
      </c>
      <c r="S492">
        <v>3758.08</v>
      </c>
      <c r="T492" t="s">
        <v>81</v>
      </c>
      <c r="U492" t="s">
        <v>51</v>
      </c>
      <c r="V492" t="s">
        <v>93</v>
      </c>
    </row>
    <row r="493" spans="1:22" x14ac:dyDescent="0.35">
      <c r="A493" t="s">
        <v>1192</v>
      </c>
      <c r="B493" s="5">
        <v>45537</v>
      </c>
      <c r="C493" s="5" t="str">
        <f t="shared" si="15"/>
        <v>2024</v>
      </c>
      <c r="D493" s="5" t="str">
        <f t="shared" si="14"/>
        <v>September</v>
      </c>
      <c r="E493" t="s">
        <v>480</v>
      </c>
      <c r="F493" t="s">
        <v>457</v>
      </c>
      <c r="G493" t="s">
        <v>23</v>
      </c>
      <c r="H493">
        <v>43</v>
      </c>
      <c r="I493" t="s">
        <v>114</v>
      </c>
      <c r="J493" t="s">
        <v>115</v>
      </c>
      <c r="K493" t="s">
        <v>88</v>
      </c>
      <c r="L493" t="s">
        <v>89</v>
      </c>
      <c r="M493" t="s">
        <v>90</v>
      </c>
      <c r="N493" t="s">
        <v>91</v>
      </c>
      <c r="O493">
        <v>2</v>
      </c>
      <c r="P493">
        <v>9000</v>
      </c>
      <c r="Q493">
        <v>10</v>
      </c>
      <c r="R493">
        <v>16200</v>
      </c>
      <c r="S493">
        <v>3446.07</v>
      </c>
      <c r="T493" t="s">
        <v>30</v>
      </c>
      <c r="U493" t="s">
        <v>51</v>
      </c>
      <c r="V493" t="s">
        <v>65</v>
      </c>
    </row>
    <row r="494" spans="1:22" x14ac:dyDescent="0.35">
      <c r="A494" t="s">
        <v>1193</v>
      </c>
      <c r="B494" s="5">
        <v>45513</v>
      </c>
      <c r="C494" s="5" t="str">
        <f t="shared" si="15"/>
        <v>2024</v>
      </c>
      <c r="D494" s="5" t="str">
        <f t="shared" si="14"/>
        <v>August</v>
      </c>
      <c r="E494" t="s">
        <v>488</v>
      </c>
      <c r="F494" t="s">
        <v>1079</v>
      </c>
      <c r="G494" t="s">
        <v>23</v>
      </c>
      <c r="H494">
        <v>23</v>
      </c>
      <c r="I494" t="s">
        <v>57</v>
      </c>
      <c r="J494" t="s">
        <v>57</v>
      </c>
      <c r="K494" t="s">
        <v>58</v>
      </c>
      <c r="L494" t="s">
        <v>89</v>
      </c>
      <c r="M494" t="s">
        <v>90</v>
      </c>
      <c r="N494" t="s">
        <v>242</v>
      </c>
      <c r="O494">
        <v>4</v>
      </c>
      <c r="P494">
        <v>6000</v>
      </c>
      <c r="Q494">
        <v>5</v>
      </c>
      <c r="R494">
        <v>22800</v>
      </c>
      <c r="S494">
        <v>3876.23</v>
      </c>
      <c r="T494" t="s">
        <v>81</v>
      </c>
      <c r="U494" t="s">
        <v>51</v>
      </c>
      <c r="V494" t="s">
        <v>32</v>
      </c>
    </row>
    <row r="495" spans="1:22" x14ac:dyDescent="0.35">
      <c r="A495" t="s">
        <v>1194</v>
      </c>
      <c r="B495" s="5">
        <v>45666</v>
      </c>
      <c r="C495" s="5" t="str">
        <f t="shared" si="15"/>
        <v>2025</v>
      </c>
      <c r="D495" s="5" t="str">
        <f t="shared" si="14"/>
        <v>January</v>
      </c>
      <c r="E495" t="s">
        <v>76</v>
      </c>
      <c r="F495" t="s">
        <v>566</v>
      </c>
      <c r="G495" t="s">
        <v>37</v>
      </c>
      <c r="H495">
        <v>37</v>
      </c>
      <c r="I495" t="s">
        <v>46</v>
      </c>
      <c r="J495" t="s">
        <v>25</v>
      </c>
      <c r="K495" t="s">
        <v>26</v>
      </c>
      <c r="L495" t="s">
        <v>78</v>
      </c>
      <c r="M495" t="s">
        <v>79</v>
      </c>
      <c r="N495" t="s">
        <v>101</v>
      </c>
      <c r="O495">
        <v>4</v>
      </c>
      <c r="P495">
        <v>3500</v>
      </c>
      <c r="Q495">
        <v>10</v>
      </c>
      <c r="R495">
        <v>12600</v>
      </c>
      <c r="S495">
        <v>1252.9000000000001</v>
      </c>
      <c r="T495" t="s">
        <v>59</v>
      </c>
      <c r="U495" t="s">
        <v>51</v>
      </c>
      <c r="V495" t="s">
        <v>52</v>
      </c>
    </row>
    <row r="496" spans="1:22" x14ac:dyDescent="0.35">
      <c r="A496" t="s">
        <v>1196</v>
      </c>
      <c r="B496" s="5">
        <v>45420</v>
      </c>
      <c r="C496" s="5" t="str">
        <f t="shared" si="15"/>
        <v>2024</v>
      </c>
      <c r="D496" s="5" t="str">
        <f t="shared" si="14"/>
        <v>May</v>
      </c>
      <c r="E496" t="s">
        <v>494</v>
      </c>
      <c r="F496" t="s">
        <v>168</v>
      </c>
      <c r="G496" t="s">
        <v>37</v>
      </c>
      <c r="H496">
        <v>28</v>
      </c>
      <c r="I496" t="s">
        <v>57</v>
      </c>
      <c r="J496" t="s">
        <v>57</v>
      </c>
      <c r="K496" t="s">
        <v>58</v>
      </c>
      <c r="L496" t="s">
        <v>78</v>
      </c>
      <c r="M496" t="s">
        <v>79</v>
      </c>
      <c r="N496" t="s">
        <v>80</v>
      </c>
      <c r="O496">
        <v>4</v>
      </c>
      <c r="P496">
        <v>1800</v>
      </c>
      <c r="Q496">
        <v>5</v>
      </c>
      <c r="R496">
        <v>6840</v>
      </c>
      <c r="S496">
        <v>1503.41</v>
      </c>
      <c r="T496" t="s">
        <v>59</v>
      </c>
      <c r="U496" t="s">
        <v>51</v>
      </c>
      <c r="V496" t="s">
        <v>93</v>
      </c>
    </row>
    <row r="497" spans="1:22" x14ac:dyDescent="0.35">
      <c r="A497" t="s">
        <v>1198</v>
      </c>
      <c r="B497" s="5">
        <v>45301</v>
      </c>
      <c r="C497" s="5" t="str">
        <f t="shared" si="15"/>
        <v>2024</v>
      </c>
      <c r="D497" s="5" t="str">
        <f t="shared" si="14"/>
        <v>January</v>
      </c>
      <c r="E497" t="s">
        <v>631</v>
      </c>
      <c r="F497" t="s">
        <v>694</v>
      </c>
      <c r="G497" t="s">
        <v>23</v>
      </c>
      <c r="H497">
        <v>41</v>
      </c>
      <c r="I497" t="s">
        <v>114</v>
      </c>
      <c r="J497" t="s">
        <v>115</v>
      </c>
      <c r="K497" t="s">
        <v>88</v>
      </c>
      <c r="L497" t="s">
        <v>47</v>
      </c>
      <c r="M497" t="s">
        <v>48</v>
      </c>
      <c r="N497" t="s">
        <v>49</v>
      </c>
      <c r="O497">
        <v>2</v>
      </c>
      <c r="P497">
        <v>150</v>
      </c>
      <c r="Q497">
        <v>15</v>
      </c>
      <c r="R497">
        <v>255</v>
      </c>
      <c r="S497">
        <v>58.62</v>
      </c>
      <c r="T497" t="s">
        <v>41</v>
      </c>
      <c r="U497" t="s">
        <v>92</v>
      </c>
      <c r="V497" t="s">
        <v>117</v>
      </c>
    </row>
    <row r="498" spans="1:22" x14ac:dyDescent="0.35">
      <c r="A498" t="s">
        <v>1199</v>
      </c>
      <c r="B498" s="5">
        <v>45465</v>
      </c>
      <c r="C498" s="5" t="str">
        <f t="shared" si="15"/>
        <v>2024</v>
      </c>
      <c r="D498" s="5" t="str">
        <f t="shared" si="14"/>
        <v>June</v>
      </c>
      <c r="E498" t="s">
        <v>689</v>
      </c>
      <c r="F498" t="s">
        <v>654</v>
      </c>
      <c r="G498" t="s">
        <v>37</v>
      </c>
      <c r="H498">
        <v>20</v>
      </c>
      <c r="I498" t="s">
        <v>114</v>
      </c>
      <c r="J498" t="s">
        <v>115</v>
      </c>
      <c r="K498" t="s">
        <v>88</v>
      </c>
      <c r="L498" t="s">
        <v>27</v>
      </c>
      <c r="M498" t="s">
        <v>28</v>
      </c>
      <c r="N498" t="s">
        <v>40</v>
      </c>
      <c r="O498">
        <v>3</v>
      </c>
      <c r="P498">
        <v>2500</v>
      </c>
      <c r="Q498">
        <v>20</v>
      </c>
      <c r="R498">
        <v>6000</v>
      </c>
      <c r="S498">
        <v>1471.92</v>
      </c>
      <c r="T498" t="s">
        <v>30</v>
      </c>
      <c r="U498" t="s">
        <v>51</v>
      </c>
      <c r="V498" t="s">
        <v>117</v>
      </c>
    </row>
    <row r="499" spans="1:22" x14ac:dyDescent="0.35">
      <c r="A499" t="s">
        <v>1200</v>
      </c>
      <c r="B499" s="5">
        <v>45595</v>
      </c>
      <c r="C499" s="5" t="str">
        <f t="shared" si="15"/>
        <v>2024</v>
      </c>
      <c r="D499" s="5" t="str">
        <f t="shared" si="14"/>
        <v>October</v>
      </c>
      <c r="E499" t="s">
        <v>1103</v>
      </c>
      <c r="F499" t="s">
        <v>85</v>
      </c>
      <c r="G499" t="s">
        <v>37</v>
      </c>
      <c r="H499">
        <v>60</v>
      </c>
      <c r="I499" t="s">
        <v>98</v>
      </c>
      <c r="J499" t="s">
        <v>99</v>
      </c>
      <c r="K499" t="s">
        <v>100</v>
      </c>
      <c r="L499" t="s">
        <v>89</v>
      </c>
      <c r="M499" t="s">
        <v>90</v>
      </c>
      <c r="N499" t="s">
        <v>128</v>
      </c>
      <c r="O499">
        <v>2</v>
      </c>
      <c r="P499">
        <v>7000</v>
      </c>
      <c r="Q499">
        <v>5</v>
      </c>
      <c r="R499">
        <v>13300</v>
      </c>
      <c r="S499">
        <v>3443.58</v>
      </c>
      <c r="T499" t="s">
        <v>81</v>
      </c>
      <c r="U499" t="s">
        <v>51</v>
      </c>
      <c r="V499" t="s">
        <v>65</v>
      </c>
    </row>
    <row r="500" spans="1:22" x14ac:dyDescent="0.35">
      <c r="A500" t="s">
        <v>1202</v>
      </c>
      <c r="B500" s="5">
        <v>45812</v>
      </c>
      <c r="C500" s="5" t="str">
        <f t="shared" si="15"/>
        <v>2025</v>
      </c>
      <c r="D500" s="5" t="str">
        <f t="shared" si="14"/>
        <v>June</v>
      </c>
      <c r="E500" t="s">
        <v>736</v>
      </c>
      <c r="F500" t="s">
        <v>543</v>
      </c>
      <c r="G500" t="s">
        <v>37</v>
      </c>
      <c r="H500">
        <v>47</v>
      </c>
      <c r="I500" t="s">
        <v>126</v>
      </c>
      <c r="J500" t="s">
        <v>127</v>
      </c>
      <c r="K500" t="s">
        <v>88</v>
      </c>
      <c r="L500" t="s">
        <v>78</v>
      </c>
      <c r="M500" t="s">
        <v>79</v>
      </c>
      <c r="N500" t="s">
        <v>156</v>
      </c>
      <c r="O500">
        <v>2</v>
      </c>
      <c r="P500">
        <v>800</v>
      </c>
      <c r="Q500">
        <v>5</v>
      </c>
      <c r="R500">
        <v>1520</v>
      </c>
      <c r="S500">
        <v>417.38</v>
      </c>
      <c r="T500" t="s">
        <v>81</v>
      </c>
      <c r="U500" t="s">
        <v>51</v>
      </c>
      <c r="V500" t="s">
        <v>52</v>
      </c>
    </row>
    <row r="501" spans="1:22" x14ac:dyDescent="0.35">
      <c r="A501" t="s">
        <v>1204</v>
      </c>
      <c r="B501" s="5">
        <v>45482</v>
      </c>
      <c r="C501" s="5" t="str">
        <f t="shared" si="15"/>
        <v>2024</v>
      </c>
      <c r="D501" s="5" t="str">
        <f t="shared" si="14"/>
        <v>July</v>
      </c>
      <c r="E501" t="s">
        <v>1205</v>
      </c>
      <c r="F501" t="s">
        <v>348</v>
      </c>
      <c r="G501" t="s">
        <v>23</v>
      </c>
      <c r="H501">
        <v>59</v>
      </c>
      <c r="I501" t="s">
        <v>126</v>
      </c>
      <c r="J501" t="s">
        <v>127</v>
      </c>
      <c r="K501" t="s">
        <v>88</v>
      </c>
      <c r="L501" t="s">
        <v>27</v>
      </c>
      <c r="M501" t="s">
        <v>28</v>
      </c>
      <c r="N501" t="s">
        <v>73</v>
      </c>
      <c r="O501">
        <v>4</v>
      </c>
      <c r="P501">
        <v>25000</v>
      </c>
      <c r="Q501">
        <v>0</v>
      </c>
      <c r="R501">
        <v>100000</v>
      </c>
      <c r="S501">
        <v>9260.35</v>
      </c>
      <c r="T501" t="s">
        <v>41</v>
      </c>
      <c r="U501" t="s">
        <v>92</v>
      </c>
      <c r="V501" t="s">
        <v>60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1C85-CAFA-4A08-987A-3211DC2B9FF3}">
  <dimension ref="A2:BN31"/>
  <sheetViews>
    <sheetView topLeftCell="A11" workbookViewId="0">
      <selection activeCell="A37" sqref="A37:B53"/>
    </sheetView>
  </sheetViews>
  <sheetFormatPr defaultRowHeight="14.5" x14ac:dyDescent="0.35"/>
  <cols>
    <col min="1" max="1" width="13.7265625" bestFit="1" customWidth="1"/>
    <col min="2" max="2" width="11.26953125" bestFit="1" customWidth="1"/>
    <col min="3" max="3" width="13.1796875" bestFit="1" customWidth="1"/>
    <col min="4" max="4" width="19.54296875" bestFit="1" customWidth="1"/>
    <col min="5" max="5" width="16.453125" bestFit="1" customWidth="1"/>
    <col min="6" max="6" width="10.7265625" bestFit="1" customWidth="1"/>
    <col min="7" max="7" width="15.1796875" bestFit="1" customWidth="1"/>
    <col min="8" max="8" width="11.26953125" bestFit="1" customWidth="1"/>
    <col min="9" max="9" width="13.1796875" bestFit="1" customWidth="1"/>
    <col min="10" max="10" width="13" bestFit="1" customWidth="1"/>
    <col min="11" max="11" width="11.26953125" bestFit="1" customWidth="1"/>
    <col min="12" max="12" width="12.453125" bestFit="1" customWidth="1"/>
    <col min="13" max="13" width="11.26953125" bestFit="1" customWidth="1"/>
    <col min="14" max="14" width="6.453125" bestFit="1" customWidth="1"/>
    <col min="15" max="15" width="9.81640625" bestFit="1" customWidth="1"/>
    <col min="16" max="16" width="9.1796875" bestFit="1" customWidth="1"/>
    <col min="17" max="17" width="12.453125" bestFit="1" customWidth="1"/>
    <col min="18" max="18" width="11.26953125" bestFit="1" customWidth="1"/>
    <col min="19" max="19" width="6" bestFit="1" customWidth="1"/>
    <col min="20" max="20" width="5.81640625" bestFit="1" customWidth="1"/>
    <col min="21" max="21" width="7.81640625" bestFit="1" customWidth="1"/>
    <col min="22" max="22" width="7.7265625" bestFit="1" customWidth="1"/>
    <col min="23" max="23" width="9.1796875" bestFit="1" customWidth="1"/>
    <col min="24" max="24" width="10.54296875" bestFit="1" customWidth="1"/>
    <col min="25" max="25" width="8.453125" bestFit="1" customWidth="1"/>
    <col min="26" max="26" width="12" bestFit="1" customWidth="1"/>
    <col min="27" max="27" width="11.1796875" bestFit="1" customWidth="1"/>
    <col min="28" max="28" width="6.453125" bestFit="1" customWidth="1"/>
    <col min="29" max="29" width="13.1796875" bestFit="1" customWidth="1"/>
    <col min="30" max="30" width="11.81640625" bestFit="1" customWidth="1"/>
    <col min="31" max="31" width="6.81640625" bestFit="1" customWidth="1"/>
    <col min="32" max="32" width="11.453125" bestFit="1" customWidth="1"/>
    <col min="33" max="33" width="6.81640625" bestFit="1" customWidth="1"/>
    <col min="34" max="34" width="5.81640625" bestFit="1" customWidth="1"/>
    <col min="35" max="35" width="7.81640625" bestFit="1" customWidth="1"/>
    <col min="36" max="36" width="7.7265625" bestFit="1" customWidth="1"/>
    <col min="37" max="37" width="9.1796875" bestFit="1" customWidth="1"/>
    <col min="38" max="38" width="10.54296875" bestFit="1" customWidth="1"/>
    <col min="39" max="39" width="8.453125" bestFit="1" customWidth="1"/>
    <col min="40" max="40" width="12" bestFit="1" customWidth="1"/>
    <col min="41" max="41" width="12.453125" bestFit="1" customWidth="1"/>
    <col min="42" max="42" width="16.453125" bestFit="1" customWidth="1"/>
    <col min="43" max="43" width="10.453125" bestFit="1" customWidth="1"/>
    <col min="44" max="44" width="9.1796875" bestFit="1" customWidth="1"/>
    <col min="45" max="45" width="6.81640625" bestFit="1" customWidth="1"/>
    <col min="46" max="46" width="11.453125" bestFit="1" customWidth="1"/>
    <col min="47" max="47" width="6.81640625" bestFit="1" customWidth="1"/>
    <col min="48" max="48" width="5.81640625" bestFit="1" customWidth="1"/>
    <col min="49" max="49" width="7.81640625" bestFit="1" customWidth="1"/>
    <col min="50" max="50" width="7.7265625" bestFit="1" customWidth="1"/>
    <col min="51" max="51" width="9.1796875" bestFit="1" customWidth="1"/>
    <col min="52" max="52" width="10.54296875" bestFit="1" customWidth="1"/>
    <col min="53" max="53" width="15.1796875" bestFit="1" customWidth="1"/>
    <col min="54" max="54" width="11.26953125" bestFit="1" customWidth="1"/>
    <col min="55" max="55" width="11.1796875" bestFit="1" customWidth="1"/>
    <col min="56" max="56" width="6.453125" bestFit="1" customWidth="1"/>
    <col min="57" max="57" width="9.81640625" bestFit="1" customWidth="1"/>
    <col min="58" max="58" width="10.81640625" bestFit="1" customWidth="1"/>
    <col min="65" max="65" width="13" bestFit="1" customWidth="1"/>
    <col min="66" max="66" width="11.26953125" bestFit="1" customWidth="1"/>
  </cols>
  <sheetData>
    <row r="2" spans="1:66" x14ac:dyDescent="0.35">
      <c r="A2" s="1"/>
    </row>
    <row r="3" spans="1:66" x14ac:dyDescent="0.35">
      <c r="A3" s="2">
        <v>2670139.66</v>
      </c>
    </row>
    <row r="7" spans="1:66" x14ac:dyDescent="0.35">
      <c r="BM7" t="s">
        <v>1208</v>
      </c>
    </row>
    <row r="8" spans="1:66" x14ac:dyDescent="0.35">
      <c r="A8" t="s">
        <v>1209</v>
      </c>
      <c r="BA8" t="s">
        <v>1210</v>
      </c>
    </row>
    <row r="9" spans="1:66" x14ac:dyDescent="0.35">
      <c r="C9" t="s">
        <v>1211</v>
      </c>
      <c r="F9" t="s">
        <v>1212</v>
      </c>
      <c r="I9" t="s">
        <v>1213</v>
      </c>
      <c r="L9" t="s">
        <v>1214</v>
      </c>
      <c r="BM9" s="3" t="s">
        <v>1215</v>
      </c>
      <c r="BN9" t="s">
        <v>1216</v>
      </c>
    </row>
    <row r="10" spans="1:66" x14ac:dyDescent="0.35">
      <c r="A10" s="3" t="s">
        <v>1217</v>
      </c>
      <c r="B10" t="s">
        <v>1216</v>
      </c>
      <c r="L10" s="3" t="s">
        <v>1217</v>
      </c>
      <c r="M10" t="s">
        <v>1216</v>
      </c>
      <c r="BA10" s="3" t="s">
        <v>1218</v>
      </c>
      <c r="BB10" t="s">
        <v>1216</v>
      </c>
      <c r="BM10" s="4" t="s">
        <v>441</v>
      </c>
      <c r="BN10">
        <v>91600</v>
      </c>
    </row>
    <row r="11" spans="1:66" x14ac:dyDescent="0.35">
      <c r="A11" s="4" t="s">
        <v>1219</v>
      </c>
      <c r="B11">
        <v>8633578</v>
      </c>
      <c r="C11" s="3" t="s">
        <v>1220</v>
      </c>
      <c r="D11" t="s">
        <v>1216</v>
      </c>
      <c r="F11" s="3" t="s">
        <v>1221</v>
      </c>
      <c r="G11" t="s">
        <v>1216</v>
      </c>
      <c r="I11" s="3" t="s">
        <v>1220</v>
      </c>
      <c r="J11" t="s">
        <v>1222</v>
      </c>
      <c r="L11" s="4" t="s">
        <v>73</v>
      </c>
      <c r="M11">
        <v>90000</v>
      </c>
      <c r="BA11" s="4" t="s">
        <v>117</v>
      </c>
      <c r="BB11">
        <v>110400</v>
      </c>
      <c r="BM11" s="4" t="s">
        <v>147</v>
      </c>
      <c r="BN11">
        <v>40800</v>
      </c>
    </row>
    <row r="12" spans="1:66" x14ac:dyDescent="0.35">
      <c r="A12" s="6" t="s">
        <v>1223</v>
      </c>
      <c r="B12">
        <v>988609.5</v>
      </c>
      <c r="C12" s="4" t="s">
        <v>27</v>
      </c>
      <c r="D12">
        <v>98750</v>
      </c>
      <c r="F12" s="4" t="s">
        <v>88</v>
      </c>
      <c r="G12">
        <v>140680</v>
      </c>
      <c r="I12" s="4" t="s">
        <v>27</v>
      </c>
      <c r="J12">
        <v>17051.41</v>
      </c>
      <c r="L12" s="4" t="s">
        <v>242</v>
      </c>
      <c r="M12">
        <v>20400</v>
      </c>
      <c r="BA12" s="4" t="s">
        <v>93</v>
      </c>
      <c r="BB12">
        <v>11325</v>
      </c>
      <c r="BM12" s="4" t="s">
        <v>230</v>
      </c>
      <c r="BN12">
        <v>25650</v>
      </c>
    </row>
    <row r="13" spans="1:66" x14ac:dyDescent="0.35">
      <c r="A13" s="6" t="s">
        <v>1224</v>
      </c>
      <c r="B13">
        <v>529740.5</v>
      </c>
      <c r="C13" s="4" t="s">
        <v>78</v>
      </c>
      <c r="D13">
        <v>21125</v>
      </c>
      <c r="F13" s="4" t="s">
        <v>1225</v>
      </c>
      <c r="G13">
        <v>140680</v>
      </c>
      <c r="I13" s="4" t="s">
        <v>78</v>
      </c>
      <c r="J13">
        <v>4554.13</v>
      </c>
      <c r="L13" s="4" t="s">
        <v>156</v>
      </c>
      <c r="M13">
        <v>12200</v>
      </c>
      <c r="BA13" s="4" t="s">
        <v>60</v>
      </c>
      <c r="BB13">
        <v>11030</v>
      </c>
      <c r="BM13" s="4" t="s">
        <v>647</v>
      </c>
      <c r="BN13">
        <v>24300</v>
      </c>
    </row>
    <row r="14" spans="1:66" x14ac:dyDescent="0.35">
      <c r="A14" s="6" t="s">
        <v>1226</v>
      </c>
      <c r="B14">
        <v>610433</v>
      </c>
      <c r="C14" s="4" t="s">
        <v>89</v>
      </c>
      <c r="D14">
        <v>20400</v>
      </c>
      <c r="I14" s="4" t="s">
        <v>89</v>
      </c>
      <c r="J14">
        <v>4373.3</v>
      </c>
      <c r="L14" s="4" t="s">
        <v>101</v>
      </c>
      <c r="M14">
        <v>8925</v>
      </c>
      <c r="BA14" s="4" t="s">
        <v>32</v>
      </c>
      <c r="BB14">
        <v>4320</v>
      </c>
      <c r="BM14" s="4" t="s">
        <v>424</v>
      </c>
      <c r="BN14">
        <v>20400</v>
      </c>
    </row>
    <row r="15" spans="1:66" x14ac:dyDescent="0.35">
      <c r="A15" s="6" t="s">
        <v>1227</v>
      </c>
      <c r="B15">
        <v>635127.5</v>
      </c>
      <c r="C15" s="4" t="s">
        <v>47</v>
      </c>
      <c r="D15">
        <v>405</v>
      </c>
      <c r="I15" s="4" t="s">
        <v>47</v>
      </c>
      <c r="J15">
        <v>39.909999999999997</v>
      </c>
      <c r="L15" s="4" t="s">
        <v>40</v>
      </c>
      <c r="M15">
        <v>8750</v>
      </c>
      <c r="BA15" s="4" t="s">
        <v>52</v>
      </c>
      <c r="BB15">
        <v>3200</v>
      </c>
      <c r="BM15" s="4" t="s">
        <v>246</v>
      </c>
      <c r="BN15">
        <v>17100</v>
      </c>
    </row>
    <row r="16" spans="1:66" x14ac:dyDescent="0.35">
      <c r="A16" s="6" t="s">
        <v>1228</v>
      </c>
      <c r="B16">
        <v>490816</v>
      </c>
      <c r="C16" s="4" t="s">
        <v>1225</v>
      </c>
      <c r="D16">
        <v>140680</v>
      </c>
      <c r="I16" s="4" t="s">
        <v>1225</v>
      </c>
      <c r="J16">
        <v>26018.75</v>
      </c>
      <c r="L16" s="4" t="s">
        <v>49</v>
      </c>
      <c r="M16">
        <v>405</v>
      </c>
      <c r="BA16" s="4" t="s">
        <v>65</v>
      </c>
      <c r="BB16">
        <v>405</v>
      </c>
      <c r="BM16" s="4" t="s">
        <v>374</v>
      </c>
      <c r="BN16">
        <v>14400</v>
      </c>
    </row>
    <row r="17" spans="1:66" x14ac:dyDescent="0.35">
      <c r="A17" s="6" t="s">
        <v>1229</v>
      </c>
      <c r="B17">
        <v>1119154.5</v>
      </c>
      <c r="L17" s="4" t="s">
        <v>1225</v>
      </c>
      <c r="M17">
        <v>140680</v>
      </c>
      <c r="BA17" s="4" t="s">
        <v>1225</v>
      </c>
      <c r="BB17">
        <v>140680</v>
      </c>
      <c r="BM17" s="4" t="s">
        <v>77</v>
      </c>
      <c r="BN17">
        <v>11400</v>
      </c>
    </row>
    <row r="18" spans="1:66" x14ac:dyDescent="0.35">
      <c r="A18" s="6" t="s">
        <v>1230</v>
      </c>
      <c r="B18">
        <v>340654</v>
      </c>
      <c r="D18" t="s">
        <v>1231</v>
      </c>
      <c r="G18" t="s">
        <v>1210</v>
      </c>
      <c r="J18" t="s">
        <v>1208</v>
      </c>
      <c r="BM18" s="4" t="s">
        <v>413</v>
      </c>
      <c r="BN18">
        <v>9450</v>
      </c>
    </row>
    <row r="19" spans="1:66" x14ac:dyDescent="0.35">
      <c r="A19" s="6" t="s">
        <v>1232</v>
      </c>
      <c r="B19">
        <v>1076528</v>
      </c>
      <c r="BM19" s="4" t="s">
        <v>643</v>
      </c>
      <c r="BN19">
        <v>8925</v>
      </c>
    </row>
    <row r="20" spans="1:66" x14ac:dyDescent="0.35">
      <c r="A20" s="6" t="s">
        <v>1233</v>
      </c>
      <c r="B20">
        <v>1547705</v>
      </c>
      <c r="D20" s="3" t="s">
        <v>1234</v>
      </c>
      <c r="E20" t="s">
        <v>1235</v>
      </c>
      <c r="G20" s="3" t="s">
        <v>1218</v>
      </c>
      <c r="H20" t="s">
        <v>1216</v>
      </c>
      <c r="J20" s="3" t="s">
        <v>1215</v>
      </c>
      <c r="K20" t="s">
        <v>1216</v>
      </c>
      <c r="BM20" s="4" t="s">
        <v>1225</v>
      </c>
      <c r="BN20">
        <v>264025</v>
      </c>
    </row>
    <row r="21" spans="1:66" x14ac:dyDescent="0.35">
      <c r="A21" s="6" t="s">
        <v>1236</v>
      </c>
      <c r="B21">
        <v>533990.5</v>
      </c>
      <c r="D21" s="4" t="s">
        <v>59</v>
      </c>
      <c r="E21">
        <v>11</v>
      </c>
      <c r="G21" s="4" t="s">
        <v>117</v>
      </c>
      <c r="H21">
        <v>110400</v>
      </c>
      <c r="J21" s="4" t="s">
        <v>441</v>
      </c>
      <c r="K21">
        <v>91600</v>
      </c>
    </row>
    <row r="22" spans="1:66" x14ac:dyDescent="0.35">
      <c r="A22" s="6" t="s">
        <v>1237</v>
      </c>
      <c r="B22">
        <v>424575</v>
      </c>
      <c r="D22" s="4" t="s">
        <v>1225</v>
      </c>
      <c r="E22">
        <v>11</v>
      </c>
      <c r="G22" s="4" t="s">
        <v>93</v>
      </c>
      <c r="H22">
        <v>11325</v>
      </c>
      <c r="J22" s="4" t="s">
        <v>424</v>
      </c>
      <c r="K22">
        <v>20400</v>
      </c>
    </row>
    <row r="23" spans="1:66" x14ac:dyDescent="0.35">
      <c r="A23" s="6" t="s">
        <v>1238</v>
      </c>
      <c r="B23">
        <v>336244.5</v>
      </c>
      <c r="G23" s="4" t="s">
        <v>60</v>
      </c>
      <c r="H23">
        <v>11030</v>
      </c>
      <c r="J23" s="4" t="s">
        <v>643</v>
      </c>
      <c r="K23">
        <v>8925</v>
      </c>
    </row>
    <row r="24" spans="1:66" x14ac:dyDescent="0.35">
      <c r="A24" s="4" t="s">
        <v>1225</v>
      </c>
      <c r="B24">
        <v>8633578</v>
      </c>
      <c r="G24" s="4" t="s">
        <v>32</v>
      </c>
      <c r="H24">
        <v>4320</v>
      </c>
      <c r="J24" s="4" t="s">
        <v>249</v>
      </c>
      <c r="K24">
        <v>4750</v>
      </c>
    </row>
    <row r="25" spans="1:66" x14ac:dyDescent="0.35">
      <c r="G25" s="4" t="s">
        <v>52</v>
      </c>
      <c r="H25">
        <v>3200</v>
      </c>
      <c r="J25" s="4" t="s">
        <v>468</v>
      </c>
      <c r="K25">
        <v>4000</v>
      </c>
    </row>
    <row r="26" spans="1:66" x14ac:dyDescent="0.35">
      <c r="G26" s="4" t="s">
        <v>65</v>
      </c>
      <c r="H26">
        <v>405</v>
      </c>
      <c r="J26" s="4" t="s">
        <v>186</v>
      </c>
      <c r="K26">
        <v>3200</v>
      </c>
    </row>
    <row r="27" spans="1:66" x14ac:dyDescent="0.35">
      <c r="G27" s="4" t="s">
        <v>1225</v>
      </c>
      <c r="H27">
        <v>140680</v>
      </c>
      <c r="J27" s="4" t="s">
        <v>560</v>
      </c>
      <c r="K27">
        <v>2720</v>
      </c>
    </row>
    <row r="28" spans="1:66" x14ac:dyDescent="0.35">
      <c r="J28" s="4" t="s">
        <v>477</v>
      </c>
      <c r="K28">
        <v>2400</v>
      </c>
    </row>
    <row r="29" spans="1:66" x14ac:dyDescent="0.35">
      <c r="J29" s="4" t="s">
        <v>354</v>
      </c>
      <c r="K29">
        <v>2280</v>
      </c>
    </row>
    <row r="30" spans="1:66" x14ac:dyDescent="0.35">
      <c r="J30" s="4" t="s">
        <v>752</v>
      </c>
      <c r="K30">
        <v>405</v>
      </c>
    </row>
    <row r="31" spans="1:66" x14ac:dyDescent="0.35">
      <c r="J31" s="4" t="s">
        <v>1225</v>
      </c>
      <c r="K31">
        <v>140680</v>
      </c>
    </row>
  </sheetData>
  <pageMargins left="0.7" right="0.7" top="0.75" bottom="0.75" header="0.3" footer="0.3"/>
  <pageSetup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B429-FCF1-4AB1-8EF4-3C970926645D}">
  <dimension ref="A1:O2"/>
  <sheetViews>
    <sheetView tabSelected="1" zoomScale="49" workbookViewId="0">
      <selection activeCell="U30" sqref="U30"/>
    </sheetView>
  </sheetViews>
  <sheetFormatPr defaultRowHeight="14.5" x14ac:dyDescent="0.35"/>
  <cols>
    <col min="1" max="1" width="12.81640625" bestFit="1" customWidth="1"/>
    <col min="2" max="3" width="11.26953125" bestFit="1" customWidth="1"/>
  </cols>
  <sheetData>
    <row r="1" spans="1:15" x14ac:dyDescent="0.35">
      <c r="A1" s="7" t="s">
        <v>1239</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sheetData>
  <mergeCells count="1">
    <mergeCell ref="A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vt:lpstr>
      <vt:lpstr>cleaned_data</vt:lpstr>
      <vt:lpstr>pivot tables</vt:lpstr>
      <vt:lpstr>Retail_Sales_Dashboard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jayantijayanti277@outlook.com</cp:lastModifiedBy>
  <cp:revision/>
  <dcterms:created xsi:type="dcterms:W3CDTF">2026-07-10T13:52:07Z</dcterms:created>
  <dcterms:modified xsi:type="dcterms:W3CDTF">2026-07-11T13:19:26Z</dcterms:modified>
  <cp:category/>
  <cp:contentStatus/>
</cp:coreProperties>
</file>